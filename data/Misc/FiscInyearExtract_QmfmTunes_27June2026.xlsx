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Desktop\MINECOFIN\Macro\Modeling\QMFM\data\Misc\"/>
    </mc:Choice>
  </mc:AlternateContent>
  <xr:revisionPtr revIDLastSave="0" documentId="13_ncr:1_{2B5CB2AB-1D35-4468-B392-C56A0BC4AF7A}" xr6:coauthVersionLast="47" xr6:coauthVersionMax="47" xr10:uidLastSave="{00000000-0000-0000-0000-000000000000}"/>
  <bookViews>
    <workbookView xWindow="57480" yWindow="-120" windowWidth="29040" windowHeight="15720" firstSheet="2" activeTab="2" xr2:uid="{D61D5969-636A-4DAC-AE1D-E00E6EDBBDA0}"/>
  </bookViews>
  <sheets>
    <sheet name="FiscQmfmTunes" sheetId="2" r:id="rId1"/>
    <sheet name="NKIA financing" sheetId="1" r:id="rId2"/>
    <sheet name="FiscQmfm" sheetId="3" r:id="rId3"/>
  </sheets>
  <definedNames>
    <definedName name="fiscal_tunes" localSheetId="2">FiscQmfm!$B$27:$W$69</definedName>
    <definedName name="fiscal_tunes">FiscQmfmTunes!$B$27:$AU$69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10" i="1" l="1"/>
  <c r="H12" i="1"/>
  <c r="H11" i="1"/>
  <c r="H10" i="1"/>
  <c r="G12" i="1" l="1"/>
  <c r="F12" i="1"/>
  <c r="E12" i="1"/>
  <c r="D12" i="1"/>
  <c r="C12" i="1"/>
  <c r="G11" i="1"/>
  <c r="F11" i="1"/>
  <c r="E11" i="1"/>
  <c r="D11" i="1"/>
  <c r="C11" i="1"/>
  <c r="C8" i="1"/>
  <c r="H8" i="1"/>
  <c r="G8" i="1"/>
  <c r="F8" i="1"/>
  <c r="E8" i="1"/>
  <c r="D8" i="1"/>
  <c r="H100" i="3" l="1"/>
  <c r="G100" i="3"/>
  <c r="F100" i="3"/>
  <c r="J99" i="3"/>
  <c r="I99" i="3"/>
  <c r="H99" i="3"/>
  <c r="G99" i="3"/>
  <c r="F99" i="3"/>
  <c r="I98" i="3"/>
  <c r="H98" i="3"/>
  <c r="G98" i="3"/>
  <c r="F98" i="3"/>
  <c r="H97" i="3"/>
  <c r="G97" i="3"/>
  <c r="F97" i="3"/>
  <c r="N96" i="3"/>
  <c r="M96" i="3"/>
  <c r="L96" i="3"/>
  <c r="K96" i="3"/>
  <c r="H96" i="3"/>
  <c r="G96" i="3"/>
  <c r="F96" i="3"/>
  <c r="H95" i="3"/>
  <c r="G95" i="3"/>
  <c r="F95" i="3"/>
  <c r="M94" i="3"/>
  <c r="L94" i="3"/>
  <c r="K94" i="3"/>
  <c r="H94" i="3"/>
  <c r="G94" i="3"/>
  <c r="F94" i="3"/>
  <c r="N93" i="3"/>
  <c r="M93" i="3"/>
  <c r="L93" i="3"/>
  <c r="K93" i="3"/>
  <c r="J93" i="3"/>
  <c r="I93" i="3"/>
  <c r="H93" i="3"/>
  <c r="G93" i="3"/>
  <c r="F93" i="3"/>
  <c r="F80" i="3"/>
  <c r="E80" i="3"/>
  <c r="D80" i="3"/>
  <c r="C80" i="3"/>
  <c r="F79" i="3"/>
  <c r="E79" i="3"/>
  <c r="D79" i="3"/>
  <c r="C79" i="3"/>
  <c r="F78" i="3"/>
  <c r="E78" i="3"/>
  <c r="D78" i="3"/>
  <c r="C78" i="3"/>
  <c r="F77" i="3"/>
  <c r="E77" i="3"/>
  <c r="D77" i="3"/>
  <c r="C77" i="3"/>
  <c r="F76" i="3"/>
  <c r="E76" i="3"/>
  <c r="D76" i="3"/>
  <c r="C76" i="3"/>
  <c r="S69" i="3"/>
  <c r="R69" i="3"/>
  <c r="S68" i="3"/>
  <c r="R68" i="3"/>
  <c r="AC60" i="3"/>
  <c r="AA60" i="3"/>
  <c r="Z60" i="3"/>
  <c r="Y60" i="3"/>
  <c r="X60" i="3"/>
  <c r="W60" i="3"/>
  <c r="W48" i="3" s="1"/>
  <c r="W64" i="3" s="1"/>
  <c r="V66" i="3" s="1"/>
  <c r="R80" i="3" s="1"/>
  <c r="Q60" i="3"/>
  <c r="Q48" i="3" s="1"/>
  <c r="Q64" i="3" s="1"/>
  <c r="P60" i="3"/>
  <c r="P48" i="3" s="1"/>
  <c r="P64" i="3" s="1"/>
  <c r="AC58" i="3"/>
  <c r="AB58" i="3"/>
  <c r="AB60" i="3" s="1"/>
  <c r="AB48" i="3" s="1"/>
  <c r="AA58" i="3"/>
  <c r="Z58" i="3"/>
  <c r="Y58" i="3"/>
  <c r="X58" i="3"/>
  <c r="W58" i="3"/>
  <c r="V58" i="3"/>
  <c r="V60" i="3" s="1"/>
  <c r="V48" i="3" s="1"/>
  <c r="V64" i="3" s="1"/>
  <c r="U58" i="3"/>
  <c r="U60" i="3" s="1"/>
  <c r="U48" i="3" s="1"/>
  <c r="U64" i="3" s="1"/>
  <c r="T58" i="3"/>
  <c r="T60" i="3" s="1"/>
  <c r="T48" i="3" s="1"/>
  <c r="T64" i="3" s="1"/>
  <c r="S58" i="3"/>
  <c r="S60" i="3" s="1"/>
  <c r="S48" i="3" s="1"/>
  <c r="S64" i="3" s="1"/>
  <c r="R58" i="3"/>
  <c r="R60" i="3" s="1"/>
  <c r="R48" i="3" s="1"/>
  <c r="R64" i="3" s="1"/>
  <c r="Q58" i="3"/>
  <c r="P58" i="3"/>
  <c r="O58" i="3"/>
  <c r="O60" i="3" s="1"/>
  <c r="O48" i="3" s="1"/>
  <c r="O64" i="3" s="1"/>
  <c r="N58" i="3"/>
  <c r="N60" i="3" s="1"/>
  <c r="N48" i="3" s="1"/>
  <c r="AD57" i="3"/>
  <c r="AB49" i="3"/>
  <c r="AC49" i="3" s="1"/>
  <c r="Y49" i="3"/>
  <c r="V49" i="3"/>
  <c r="W49" i="3" s="1"/>
  <c r="S49" i="3"/>
  <c r="T49" i="3" s="1"/>
  <c r="P49" i="3"/>
  <c r="Q49" i="3" s="1"/>
  <c r="Q29" i="3" s="1"/>
  <c r="B49" i="3"/>
  <c r="AC48" i="3"/>
  <c r="AA48" i="3"/>
  <c r="Z48" i="3"/>
  <c r="Y48" i="3"/>
  <c r="X48" i="3"/>
  <c r="K47" i="3"/>
  <c r="J47" i="3"/>
  <c r="I47" i="3"/>
  <c r="H47" i="3"/>
  <c r="G47" i="3"/>
  <c r="F47" i="3"/>
  <c r="E47" i="3"/>
  <c r="D47" i="3"/>
  <c r="C47" i="3"/>
  <c r="B47" i="3"/>
  <c r="B45" i="3"/>
  <c r="B52" i="3" s="1"/>
  <c r="AB42" i="3"/>
  <c r="AC42" i="3" s="1"/>
  <c r="Z42" i="3"/>
  <c r="Y42" i="3"/>
  <c r="V42" i="3"/>
  <c r="W42" i="3" s="1"/>
  <c r="S42" i="3"/>
  <c r="T42" i="3" s="1"/>
  <c r="P42" i="3"/>
  <c r="Q42" i="3" s="1"/>
  <c r="AC41" i="3"/>
  <c r="AB41" i="3"/>
  <c r="AB43" i="3" s="1"/>
  <c r="AB45" i="3" s="1"/>
  <c r="Z78" i="3" s="1"/>
  <c r="AA41" i="3"/>
  <c r="AA43" i="3" s="1"/>
  <c r="AA45" i="3" s="1"/>
  <c r="X78" i="3" s="1"/>
  <c r="Z41" i="3"/>
  <c r="Z43" i="3" s="1"/>
  <c r="Y41" i="3"/>
  <c r="Y43" i="3" s="1"/>
  <c r="Y45" i="3" s="1"/>
  <c r="V78" i="3" s="1"/>
  <c r="X41" i="3"/>
  <c r="X43" i="3" s="1"/>
  <c r="W41" i="3"/>
  <c r="W43" i="3" s="1"/>
  <c r="V41" i="3"/>
  <c r="V43" i="3" s="1"/>
  <c r="K41" i="3"/>
  <c r="J41" i="3"/>
  <c r="I41" i="3"/>
  <c r="H41" i="3"/>
  <c r="G41" i="3"/>
  <c r="F41" i="3"/>
  <c r="E41" i="3"/>
  <c r="D41" i="3"/>
  <c r="C41" i="3"/>
  <c r="B41" i="3"/>
  <c r="X36" i="3"/>
  <c r="AB35" i="3"/>
  <c r="AC35" i="3" s="1"/>
  <c r="AC29" i="3" s="1"/>
  <c r="Y35" i="3"/>
  <c r="Z35" i="3" s="1"/>
  <c r="V35" i="3"/>
  <c r="W35" i="3" s="1"/>
  <c r="S35" i="3"/>
  <c r="T35" i="3" s="1"/>
  <c r="T29" i="3" s="1"/>
  <c r="P35" i="3"/>
  <c r="Q35" i="3" s="1"/>
  <c r="B35" i="3"/>
  <c r="X34" i="3"/>
  <c r="K34" i="3"/>
  <c r="J34" i="3"/>
  <c r="I34" i="3"/>
  <c r="H34" i="3"/>
  <c r="G34" i="3"/>
  <c r="F34" i="3"/>
  <c r="E34" i="3"/>
  <c r="D34" i="3"/>
  <c r="C34" i="3"/>
  <c r="B34" i="3"/>
  <c r="AA29" i="3"/>
  <c r="X29" i="3"/>
  <c r="U29" i="3"/>
  <c r="R29" i="3"/>
  <c r="O29" i="3"/>
  <c r="R28" i="3"/>
  <c r="P28" i="3"/>
  <c r="O28" i="3"/>
  <c r="N28" i="3"/>
  <c r="M28" i="3"/>
  <c r="L28" i="3"/>
  <c r="K28" i="3"/>
  <c r="J28" i="3"/>
  <c r="I28" i="3"/>
  <c r="H28" i="3"/>
  <c r="G28" i="3"/>
  <c r="F28" i="3"/>
  <c r="E28" i="3"/>
  <c r="D28" i="3"/>
  <c r="C28" i="3"/>
  <c r="B28" i="3"/>
  <c r="AC27" i="3"/>
  <c r="AB27" i="3"/>
  <c r="AA27" i="3"/>
  <c r="Z27" i="3"/>
  <c r="Y27" i="3"/>
  <c r="X27" i="3"/>
  <c r="W27" i="3"/>
  <c r="W62" i="3" s="1"/>
  <c r="V27" i="3"/>
  <c r="V62" i="3" s="1"/>
  <c r="U27" i="3"/>
  <c r="U62" i="3" s="1"/>
  <c r="T27" i="3"/>
  <c r="T62" i="3" s="1"/>
  <c r="S27" i="3"/>
  <c r="S62" i="3" s="1"/>
  <c r="R27" i="3"/>
  <c r="R62" i="3" s="1"/>
  <c r="Q27" i="3"/>
  <c r="Q62" i="3" s="1"/>
  <c r="P27" i="3"/>
  <c r="P62" i="3" s="1"/>
  <c r="O27" i="3"/>
  <c r="O62" i="3" s="1"/>
  <c r="N27" i="3"/>
  <c r="M27" i="3"/>
  <c r="L27" i="3"/>
  <c r="K27" i="3"/>
  <c r="J27" i="3"/>
  <c r="I27" i="3"/>
  <c r="H27" i="3"/>
  <c r="G27" i="3"/>
  <c r="F27" i="3"/>
  <c r="E27" i="3"/>
  <c r="D27" i="3"/>
  <c r="C27" i="3"/>
  <c r="AC24" i="3"/>
  <c r="N100" i="3" s="1"/>
  <c r="AB24" i="3"/>
  <c r="AB28" i="3" s="1"/>
  <c r="AA24" i="3"/>
  <c r="AA28" i="3" s="1"/>
  <c r="AA30" i="3" s="1"/>
  <c r="Z24" i="3"/>
  <c r="M100" i="3" s="1"/>
  <c r="Y24" i="3"/>
  <c r="Y28" i="3" s="1"/>
  <c r="X24" i="3"/>
  <c r="X28" i="3" s="1"/>
  <c r="X30" i="3" s="1"/>
  <c r="W24" i="3"/>
  <c r="V24" i="3"/>
  <c r="V28" i="3" s="1"/>
  <c r="U24" i="3"/>
  <c r="U28" i="3" s="1"/>
  <c r="U30" i="3" s="1"/>
  <c r="T24" i="3"/>
  <c r="S24" i="3"/>
  <c r="S28" i="3" s="1"/>
  <c r="R24" i="3"/>
  <c r="Q24" i="3"/>
  <c r="Q28" i="3" s="1"/>
  <c r="P24" i="3"/>
  <c r="O24" i="3"/>
  <c r="N24" i="3"/>
  <c r="I100" i="3" s="1"/>
  <c r="M24" i="3"/>
  <c r="L24" i="3"/>
  <c r="AC23" i="3"/>
  <c r="N99" i="3" s="1"/>
  <c r="AB23" i="3"/>
  <c r="AA23" i="3"/>
  <c r="Z23" i="3"/>
  <c r="M99" i="3" s="1"/>
  <c r="Y23" i="3"/>
  <c r="X23" i="3"/>
  <c r="W23" i="3"/>
  <c r="L99" i="3" s="1"/>
  <c r="V23" i="3"/>
  <c r="U23" i="3"/>
  <c r="T23" i="3"/>
  <c r="K99" i="3" s="1"/>
  <c r="S23" i="3"/>
  <c r="R23" i="3"/>
  <c r="Q23" i="3"/>
  <c r="P23" i="3"/>
  <c r="O23" i="3"/>
  <c r="N23" i="3"/>
  <c r="M23" i="3"/>
  <c r="L23" i="3"/>
  <c r="AC22" i="3"/>
  <c r="N98" i="3" s="1"/>
  <c r="AB22" i="3"/>
  <c r="AA22" i="3"/>
  <c r="Z22" i="3"/>
  <c r="M98" i="3" s="1"/>
  <c r="Y22" i="3"/>
  <c r="X22" i="3"/>
  <c r="W22" i="3"/>
  <c r="L98" i="3" s="1"/>
  <c r="V22" i="3"/>
  <c r="U22" i="3"/>
  <c r="T22" i="3"/>
  <c r="K98" i="3" s="1"/>
  <c r="S22" i="3"/>
  <c r="R22" i="3"/>
  <c r="Q22" i="3"/>
  <c r="J98" i="3" s="1"/>
  <c r="P22" i="3"/>
  <c r="O22" i="3"/>
  <c r="N22" i="3"/>
  <c r="M22" i="3"/>
  <c r="L22" i="3"/>
  <c r="AC21" i="3"/>
  <c r="N97" i="3" s="1"/>
  <c r="AB21" i="3"/>
  <c r="AA21" i="3"/>
  <c r="Z21" i="3"/>
  <c r="M97" i="3" s="1"/>
  <c r="Y21" i="3"/>
  <c r="X21" i="3"/>
  <c r="W21" i="3"/>
  <c r="L97" i="3" s="1"/>
  <c r="V21" i="3"/>
  <c r="U21" i="3"/>
  <c r="T21" i="3"/>
  <c r="K97" i="3" s="1"/>
  <c r="S21" i="3"/>
  <c r="R21" i="3"/>
  <c r="Q21" i="3"/>
  <c r="J97" i="3" s="1"/>
  <c r="P21" i="3"/>
  <c r="O21" i="3"/>
  <c r="N21" i="3"/>
  <c r="I97" i="3" s="1"/>
  <c r="M21" i="3"/>
  <c r="L21" i="3"/>
  <c r="AC20" i="3"/>
  <c r="AC47" i="3" s="1"/>
  <c r="AB20" i="3"/>
  <c r="AB47" i="3" s="1"/>
  <c r="AB50" i="3" s="1"/>
  <c r="AA20" i="3"/>
  <c r="AA47" i="3" s="1"/>
  <c r="AA50" i="3" s="1"/>
  <c r="Z20" i="3"/>
  <c r="Z47" i="3" s="1"/>
  <c r="Y20" i="3"/>
  <c r="Y47" i="3" s="1"/>
  <c r="Y50" i="3" s="1"/>
  <c r="X20" i="3"/>
  <c r="X47" i="3" s="1"/>
  <c r="X50" i="3" s="1"/>
  <c r="W20" i="3"/>
  <c r="W47" i="3" s="1"/>
  <c r="V20" i="3"/>
  <c r="V47" i="3" s="1"/>
  <c r="V50" i="3" s="1"/>
  <c r="U20" i="3"/>
  <c r="U47" i="3" s="1"/>
  <c r="U50" i="3" s="1"/>
  <c r="T20" i="3"/>
  <c r="T47" i="3" s="1"/>
  <c r="T50" i="3" s="1"/>
  <c r="S20" i="3"/>
  <c r="S47" i="3" s="1"/>
  <c r="S50" i="3" s="1"/>
  <c r="R20" i="3"/>
  <c r="R47" i="3" s="1"/>
  <c r="R50" i="3" s="1"/>
  <c r="R51" i="3" s="1"/>
  <c r="K79" i="3" s="1"/>
  <c r="Q20" i="3"/>
  <c r="Q47" i="3" s="1"/>
  <c r="P20" i="3"/>
  <c r="P47" i="3" s="1"/>
  <c r="P50" i="3" s="1"/>
  <c r="P51" i="3" s="1"/>
  <c r="I79" i="3" s="1"/>
  <c r="O20" i="3"/>
  <c r="O47" i="3" s="1"/>
  <c r="O50" i="3" s="1"/>
  <c r="N20" i="3"/>
  <c r="M20" i="3"/>
  <c r="M47" i="3" s="1"/>
  <c r="L20" i="3"/>
  <c r="L47" i="3" s="1"/>
  <c r="AC19" i="3"/>
  <c r="N95" i="3" s="1"/>
  <c r="AB19" i="3"/>
  <c r="AA19" i="3"/>
  <c r="Z19" i="3"/>
  <c r="M95" i="3" s="1"/>
  <c r="Y19" i="3"/>
  <c r="X19" i="3"/>
  <c r="W19" i="3"/>
  <c r="L95" i="3" s="1"/>
  <c r="V19" i="3"/>
  <c r="U19" i="3"/>
  <c r="U41" i="3" s="1"/>
  <c r="U43" i="3" s="1"/>
  <c r="T19" i="3"/>
  <c r="K95" i="3" s="1"/>
  <c r="S19" i="3"/>
  <c r="S41" i="3" s="1"/>
  <c r="S43" i="3" s="1"/>
  <c r="R19" i="3"/>
  <c r="R41" i="3" s="1"/>
  <c r="R43" i="3" s="1"/>
  <c r="Q19" i="3"/>
  <c r="P19" i="3"/>
  <c r="P41" i="3" s="1"/>
  <c r="P43" i="3" s="1"/>
  <c r="O19" i="3"/>
  <c r="O41" i="3" s="1"/>
  <c r="O43" i="3" s="1"/>
  <c r="N19" i="3"/>
  <c r="M19" i="3"/>
  <c r="M41" i="3" s="1"/>
  <c r="L19" i="3"/>
  <c r="L41" i="3" s="1"/>
  <c r="AC18" i="3"/>
  <c r="AB18" i="3"/>
  <c r="AB34" i="3" s="1"/>
  <c r="AA18" i="3"/>
  <c r="AA34" i="3" s="1"/>
  <c r="Z18" i="3"/>
  <c r="Z34" i="3" s="1"/>
  <c r="Y18" i="3"/>
  <c r="Y34" i="3" s="1"/>
  <c r="X18" i="3"/>
  <c r="W18" i="3"/>
  <c r="W34" i="3" s="1"/>
  <c r="V18" i="3"/>
  <c r="V34" i="3" s="1"/>
  <c r="U18" i="3"/>
  <c r="U34" i="3" s="1"/>
  <c r="T18" i="3"/>
  <c r="T34" i="3" s="1"/>
  <c r="S18" i="3"/>
  <c r="S34" i="3" s="1"/>
  <c r="R18" i="3"/>
  <c r="R34" i="3" s="1"/>
  <c r="R36" i="3" s="1"/>
  <c r="Q18" i="3"/>
  <c r="Q34" i="3" s="1"/>
  <c r="Q36" i="3" s="1"/>
  <c r="P18" i="3"/>
  <c r="P34" i="3" s="1"/>
  <c r="P36" i="3" s="1"/>
  <c r="O18" i="3"/>
  <c r="O34" i="3" s="1"/>
  <c r="O36" i="3" s="1"/>
  <c r="O37" i="3" s="1"/>
  <c r="G77" i="3" s="1"/>
  <c r="N18" i="3"/>
  <c r="N34" i="3" s="1"/>
  <c r="M18" i="3"/>
  <c r="M34" i="3" s="1"/>
  <c r="L18" i="3"/>
  <c r="L34" i="3" s="1"/>
  <c r="AC14" i="3"/>
  <c r="AB14" i="3"/>
  <c r="AA14" i="3"/>
  <c r="Z14" i="3"/>
  <c r="Y14" i="3"/>
  <c r="X14" i="3"/>
  <c r="W14" i="3"/>
  <c r="V14" i="3"/>
  <c r="U14" i="3"/>
  <c r="T14" i="3"/>
  <c r="S14" i="3"/>
  <c r="R14" i="3"/>
  <c r="Q14" i="3"/>
  <c r="P14" i="3"/>
  <c r="O14" i="3"/>
  <c r="AA77" i="2"/>
  <c r="AB77" i="2"/>
  <c r="AC77" i="2"/>
  <c r="AD77" i="2"/>
  <c r="AA78" i="2"/>
  <c r="AB78" i="2"/>
  <c r="AC78" i="2"/>
  <c r="AD78" i="2"/>
  <c r="AA79" i="2"/>
  <c r="AB79" i="2"/>
  <c r="AC79" i="2"/>
  <c r="AD79" i="2"/>
  <c r="AA80" i="2"/>
  <c r="AB80" i="2"/>
  <c r="AC80" i="2"/>
  <c r="AD80" i="2"/>
  <c r="AB76" i="2"/>
  <c r="AC76" i="2"/>
  <c r="AD76" i="2"/>
  <c r="AA76" i="2"/>
  <c r="AY37" i="2"/>
  <c r="AV37" i="2"/>
  <c r="AS37" i="2"/>
  <c r="AP37" i="2"/>
  <c r="W50" i="3" l="1"/>
  <c r="AA52" i="3"/>
  <c r="X79" i="3" s="1"/>
  <c r="AA51" i="3"/>
  <c r="W79" i="3" s="1"/>
  <c r="AB52" i="3"/>
  <c r="Z79" i="3" s="1"/>
  <c r="AB51" i="3"/>
  <c r="Y79" i="3" s="1"/>
  <c r="W29" i="3"/>
  <c r="Z28" i="3"/>
  <c r="Z55" i="3" s="1"/>
  <c r="Y29" i="3"/>
  <c r="Y30" i="3" s="1"/>
  <c r="J94" i="3"/>
  <c r="O30" i="3"/>
  <c r="O56" i="3" s="1"/>
  <c r="U66" i="3"/>
  <c r="P80" i="3" s="1"/>
  <c r="Q50" i="3"/>
  <c r="Q53" i="3" s="1"/>
  <c r="Q30" i="3"/>
  <c r="R30" i="3"/>
  <c r="R56" i="3" s="1"/>
  <c r="AA44" i="3"/>
  <c r="W78" i="3" s="1"/>
  <c r="P55" i="3"/>
  <c r="AC28" i="3"/>
  <c r="S29" i="3"/>
  <c r="S30" i="3" s="1"/>
  <c r="AB44" i="3"/>
  <c r="Y78" i="3" s="1"/>
  <c r="P29" i="3"/>
  <c r="P30" i="3" s="1"/>
  <c r="P56" i="3" s="1"/>
  <c r="R52" i="3"/>
  <c r="L79" i="3" s="1"/>
  <c r="I94" i="3"/>
  <c r="O55" i="3"/>
  <c r="J100" i="3"/>
  <c r="R44" i="3"/>
  <c r="K78" i="3" s="1"/>
  <c r="R45" i="3"/>
  <c r="L78" i="3" s="1"/>
  <c r="S45" i="3"/>
  <c r="N78" i="3" s="1"/>
  <c r="S44" i="3"/>
  <c r="M78" i="3" s="1"/>
  <c r="U45" i="3"/>
  <c r="P78" i="3" s="1"/>
  <c r="U44" i="3"/>
  <c r="O78" i="3" s="1"/>
  <c r="Y52" i="3"/>
  <c r="V79" i="3" s="1"/>
  <c r="Y51" i="3"/>
  <c r="U79" i="3" s="1"/>
  <c r="M64" i="3"/>
  <c r="AC34" i="3"/>
  <c r="N94" i="3"/>
  <c r="L55" i="3"/>
  <c r="M55" i="3"/>
  <c r="W55" i="3"/>
  <c r="N47" i="3"/>
  <c r="I96" i="3"/>
  <c r="O44" i="3"/>
  <c r="G78" i="3" s="1"/>
  <c r="O45" i="3"/>
  <c r="H78" i="3" s="1"/>
  <c r="Y55" i="3"/>
  <c r="Y36" i="3"/>
  <c r="S51" i="3"/>
  <c r="M79" i="3" s="1"/>
  <c r="S52" i="3"/>
  <c r="N79" i="3" s="1"/>
  <c r="T53" i="3"/>
  <c r="T52" i="3"/>
  <c r="U52" i="3"/>
  <c r="P79" i="3" s="1"/>
  <c r="U51" i="3"/>
  <c r="O79" i="3" s="1"/>
  <c r="U55" i="3"/>
  <c r="U36" i="3"/>
  <c r="U56" i="3" s="1"/>
  <c r="X51" i="3"/>
  <c r="S79" i="3" s="1"/>
  <c r="X52" i="3"/>
  <c r="T79" i="3" s="1"/>
  <c r="V45" i="3"/>
  <c r="R78" i="3" s="1"/>
  <c r="V44" i="3"/>
  <c r="Q78" i="3" s="1"/>
  <c r="X45" i="3"/>
  <c r="T78" i="3" s="1"/>
  <c r="X44" i="3"/>
  <c r="S78" i="3" s="1"/>
  <c r="W36" i="3"/>
  <c r="AB36" i="3"/>
  <c r="AB55" i="3"/>
  <c r="X56" i="3"/>
  <c r="O51" i="3"/>
  <c r="O52" i="3"/>
  <c r="H79" i="3" s="1"/>
  <c r="W28" i="3"/>
  <c r="W30" i="3" s="1"/>
  <c r="L100" i="3"/>
  <c r="P44" i="3"/>
  <c r="I78" i="3" s="1"/>
  <c r="P45" i="3"/>
  <c r="J78" i="3" s="1"/>
  <c r="X55" i="3"/>
  <c r="V65" i="3"/>
  <c r="Q80" i="3" s="1"/>
  <c r="U65" i="3"/>
  <c r="S55" i="3"/>
  <c r="S36" i="3"/>
  <c r="V51" i="3"/>
  <c r="Q79" i="3" s="1"/>
  <c r="V52" i="3"/>
  <c r="R79" i="3" s="1"/>
  <c r="T36" i="3"/>
  <c r="W53" i="3"/>
  <c r="N41" i="3"/>
  <c r="I95" i="3"/>
  <c r="Z36" i="3"/>
  <c r="AA55" i="3"/>
  <c r="AA36" i="3"/>
  <c r="AA56" i="3" s="1"/>
  <c r="O31" i="3"/>
  <c r="G76" i="3" s="1"/>
  <c r="Q41" i="3"/>
  <c r="J95" i="3"/>
  <c r="O38" i="3"/>
  <c r="AC50" i="3"/>
  <c r="R55" i="3"/>
  <c r="T41" i="3"/>
  <c r="T43" i="3" s="1"/>
  <c r="AD58" i="3"/>
  <c r="AB30" i="3"/>
  <c r="AC30" i="3"/>
  <c r="AC43" i="3"/>
  <c r="T28" i="3"/>
  <c r="T30" i="3" s="1"/>
  <c r="K100" i="3"/>
  <c r="V55" i="3"/>
  <c r="V36" i="3"/>
  <c r="Y44" i="3"/>
  <c r="U78" i="3" s="1"/>
  <c r="P52" i="3"/>
  <c r="J79" i="3" s="1"/>
  <c r="J96" i="3"/>
  <c r="V29" i="3"/>
  <c r="V30" i="3" s="1"/>
  <c r="Z49" i="3"/>
  <c r="Z50" i="3" s="1"/>
  <c r="AB29" i="3"/>
  <c r="AM29" i="2"/>
  <c r="AK64" i="2"/>
  <c r="AU62" i="2"/>
  <c r="AT62" i="2"/>
  <c r="AS62" i="2"/>
  <c r="BB58" i="2"/>
  <c r="BB57" i="2"/>
  <c r="I3" i="1"/>
  <c r="I4" i="1"/>
  <c r="B2" i="1"/>
  <c r="S56" i="3" l="1"/>
  <c r="T55" i="3"/>
  <c r="Y56" i="3"/>
  <c r="AC45" i="3"/>
  <c r="W45" i="3"/>
  <c r="Z29" i="3"/>
  <c r="Z30" i="3" s="1"/>
  <c r="T45" i="3"/>
  <c r="AC52" i="3"/>
  <c r="AC53" i="3"/>
  <c r="Z52" i="3"/>
  <c r="Z53" i="3"/>
  <c r="V56" i="3"/>
  <c r="O80" i="3"/>
  <c r="W66" i="3"/>
  <c r="G79" i="3"/>
  <c r="Q52" i="3"/>
  <c r="N55" i="3"/>
  <c r="AB56" i="3"/>
  <c r="W56" i="3"/>
  <c r="T56" i="3"/>
  <c r="P37" i="3"/>
  <c r="H77" i="3"/>
  <c r="O32" i="3"/>
  <c r="H76" i="3" s="1"/>
  <c r="Q43" i="3"/>
  <c r="Q55" i="3"/>
  <c r="AC36" i="3"/>
  <c r="AC55" i="3"/>
  <c r="O66" i="3"/>
  <c r="H80" i="3" s="1"/>
  <c r="R65" i="3"/>
  <c r="O65" i="3"/>
  <c r="S65" i="3"/>
  <c r="M80" i="3" s="1"/>
  <c r="P65" i="3"/>
  <c r="I80" i="3" s="1"/>
  <c r="S66" i="3"/>
  <c r="N80" i="3" s="1"/>
  <c r="R66" i="3"/>
  <c r="L80" i="3" s="1"/>
  <c r="P66" i="3"/>
  <c r="J80" i="3" s="1"/>
  <c r="Z56" i="3"/>
  <c r="Z45" i="3"/>
  <c r="W52" i="3"/>
  <c r="AS93" i="2"/>
  <c r="AR93" i="2"/>
  <c r="AQ93" i="2"/>
  <c r="AP93" i="2"/>
  <c r="AO93" i="2"/>
  <c r="AN93" i="2"/>
  <c r="AM100" i="2"/>
  <c r="AM99" i="2"/>
  <c r="AM98" i="2"/>
  <c r="AM97" i="2"/>
  <c r="AM96" i="2"/>
  <c r="AM95" i="2"/>
  <c r="AM94" i="2"/>
  <c r="AM93" i="2"/>
  <c r="AL100" i="2"/>
  <c r="AL99" i="2"/>
  <c r="AL98" i="2"/>
  <c r="AL97" i="2"/>
  <c r="AL96" i="2"/>
  <c r="AL95" i="2"/>
  <c r="AL94" i="2"/>
  <c r="AL93" i="2"/>
  <c r="AK100" i="2"/>
  <c r="AK99" i="2"/>
  <c r="AK98" i="2"/>
  <c r="AK97" i="2"/>
  <c r="AK96" i="2"/>
  <c r="AK95" i="2"/>
  <c r="AK94" i="2"/>
  <c r="AK93" i="2"/>
  <c r="AJ100" i="2"/>
  <c r="AJ99" i="2"/>
  <c r="AJ98" i="2"/>
  <c r="AJ97" i="2"/>
  <c r="AJ96" i="2"/>
  <c r="AJ95" i="2"/>
  <c r="AJ94" i="2"/>
  <c r="AJ93" i="2"/>
  <c r="AI100" i="2"/>
  <c r="AI99" i="2"/>
  <c r="AI98" i="2"/>
  <c r="AI97" i="2"/>
  <c r="AI96" i="2"/>
  <c r="AI95" i="2"/>
  <c r="AI94" i="2"/>
  <c r="AI93" i="2"/>
  <c r="AH100" i="2"/>
  <c r="AH99" i="2"/>
  <c r="AH98" i="2"/>
  <c r="AH97" i="2"/>
  <c r="AH96" i="2"/>
  <c r="AH95" i="2"/>
  <c r="AH94" i="2"/>
  <c r="AH93" i="2"/>
  <c r="K80" i="3" l="1"/>
  <c r="T66" i="3"/>
  <c r="Q45" i="3"/>
  <c r="Q56" i="3"/>
  <c r="P31" i="3"/>
  <c r="I77" i="3"/>
  <c r="P38" i="3"/>
  <c r="Q39" i="3"/>
  <c r="Q38" i="3"/>
  <c r="G80" i="3"/>
  <c r="Q66" i="3"/>
  <c r="AC56" i="3"/>
  <c r="AZ27" i="2"/>
  <c r="AY27" i="2"/>
  <c r="I76" i="3" l="1"/>
  <c r="R37" i="3"/>
  <c r="J77" i="3"/>
  <c r="P32" i="3"/>
  <c r="J76" i="3" s="1"/>
  <c r="H7" i="1"/>
  <c r="G7" i="1"/>
  <c r="F7" i="1"/>
  <c r="E7" i="1"/>
  <c r="D7" i="1"/>
  <c r="C7" i="1"/>
  <c r="G2" i="1"/>
  <c r="G10" i="1" s="1"/>
  <c r="F2" i="1"/>
  <c r="F10" i="1" s="1"/>
  <c r="E2" i="1"/>
  <c r="E10" i="1" s="1"/>
  <c r="D2" i="1"/>
  <c r="D10" i="1" s="1"/>
  <c r="C2" i="1"/>
  <c r="I2" i="1" l="1"/>
  <c r="C10" i="1"/>
  <c r="R31" i="3"/>
  <c r="K77" i="3"/>
  <c r="R38" i="3"/>
  <c r="Q32" i="3"/>
  <c r="I12" i="1"/>
  <c r="AK58" i="2" l="1"/>
  <c r="BC58" i="2" s="1"/>
  <c r="M58" i="3"/>
  <c r="AE58" i="3" s="1"/>
  <c r="K76" i="3"/>
  <c r="S37" i="3"/>
  <c r="R32" i="3"/>
  <c r="L76" i="3" s="1"/>
  <c r="L77" i="3"/>
  <c r="I11" i="1"/>
  <c r="AY29" i="2"/>
  <c r="AV29" i="2"/>
  <c r="AS29" i="2"/>
  <c r="AP29" i="2"/>
  <c r="AL58" i="2"/>
  <c r="AK59" i="2" l="1"/>
  <c r="M59" i="3"/>
  <c r="S31" i="3"/>
  <c r="M77" i="3"/>
  <c r="S38" i="3"/>
  <c r="T39" i="3"/>
  <c r="T38" i="3"/>
  <c r="AI47" i="2"/>
  <c r="AH47" i="2"/>
  <c r="AG47" i="2"/>
  <c r="AF47" i="2"/>
  <c r="AE47" i="2"/>
  <c r="AD47" i="2"/>
  <c r="AC47" i="2"/>
  <c r="AB47" i="2"/>
  <c r="AA47" i="2"/>
  <c r="AI41" i="2"/>
  <c r="AH41" i="2"/>
  <c r="AG41" i="2"/>
  <c r="AF41" i="2"/>
  <c r="AE41" i="2"/>
  <c r="AD41" i="2"/>
  <c r="AC41" i="2"/>
  <c r="AB41" i="2"/>
  <c r="AA41" i="2"/>
  <c r="AI34" i="2"/>
  <c r="AH34" i="2"/>
  <c r="AG34" i="2"/>
  <c r="AF34" i="2"/>
  <c r="AE34" i="2"/>
  <c r="AD34" i="2"/>
  <c r="AC34" i="2"/>
  <c r="AB34" i="2"/>
  <c r="AA34" i="2"/>
  <c r="AC28" i="2"/>
  <c r="AB28" i="2"/>
  <c r="AA28" i="2"/>
  <c r="AC27" i="2"/>
  <c r="AB27" i="2"/>
  <c r="AA27" i="2"/>
  <c r="AF28" i="2"/>
  <c r="AE28" i="2"/>
  <c r="AD28" i="2"/>
  <c r="AF27" i="2"/>
  <c r="AE27" i="2"/>
  <c r="AD27" i="2"/>
  <c r="AI28" i="2"/>
  <c r="AH28" i="2"/>
  <c r="AG28" i="2"/>
  <c r="AI27" i="2"/>
  <c r="AH27" i="2"/>
  <c r="AG27" i="2"/>
  <c r="AN14" i="2"/>
  <c r="AM14" i="2"/>
  <c r="BA14" i="2"/>
  <c r="AZ14" i="2"/>
  <c r="AY14" i="2"/>
  <c r="AX14" i="2"/>
  <c r="AW14" i="2"/>
  <c r="AV14" i="2"/>
  <c r="AU14" i="2"/>
  <c r="AT14" i="2"/>
  <c r="AS14" i="2"/>
  <c r="AR14" i="2"/>
  <c r="AQ14" i="2"/>
  <c r="AP14" i="2"/>
  <c r="AO14" i="2"/>
  <c r="U37" i="3" l="1"/>
  <c r="S32" i="3"/>
  <c r="N76" i="3" s="1"/>
  <c r="N77" i="3"/>
  <c r="M76" i="3"/>
  <c r="T32" i="3"/>
  <c r="AK18" i="2"/>
  <c r="AL18" i="2"/>
  <c r="AN94" i="2" s="1"/>
  <c r="AM18" i="2"/>
  <c r="AN18" i="2"/>
  <c r="AO18" i="2"/>
  <c r="AO94" i="2" s="1"/>
  <c r="AP18" i="2"/>
  <c r="AQ18" i="2"/>
  <c r="AR18" i="2"/>
  <c r="AP94" i="2" s="1"/>
  <c r="AS18" i="2"/>
  <c r="AT18" i="2"/>
  <c r="AU18" i="2"/>
  <c r="AQ94" i="2" s="1"/>
  <c r="AV18" i="2"/>
  <c r="AW18" i="2"/>
  <c r="AX18" i="2"/>
  <c r="AR94" i="2" s="1"/>
  <c r="AY18" i="2"/>
  <c r="AZ18" i="2"/>
  <c r="BA18" i="2"/>
  <c r="AS94" i="2" s="1"/>
  <c r="AK19" i="2"/>
  <c r="AL19" i="2"/>
  <c r="AN95" i="2" s="1"/>
  <c r="AM19" i="2"/>
  <c r="AN19" i="2"/>
  <c r="AO19" i="2"/>
  <c r="AO95" i="2" s="1"/>
  <c r="AP19" i="2"/>
  <c r="AQ19" i="2"/>
  <c r="AR19" i="2"/>
  <c r="AP95" i="2" s="1"/>
  <c r="AS19" i="2"/>
  <c r="AT19" i="2"/>
  <c r="AU19" i="2"/>
  <c r="AQ95" i="2" s="1"/>
  <c r="AV19" i="2"/>
  <c r="AW19" i="2"/>
  <c r="AX19" i="2"/>
  <c r="AR95" i="2" s="1"/>
  <c r="AY19" i="2"/>
  <c r="AZ19" i="2"/>
  <c r="BA19" i="2"/>
  <c r="AS95" i="2" s="1"/>
  <c r="AK20" i="2"/>
  <c r="AL20" i="2"/>
  <c r="AN96" i="2" s="1"/>
  <c r="AM20" i="2"/>
  <c r="AN20" i="2"/>
  <c r="AO20" i="2"/>
  <c r="AO96" i="2" s="1"/>
  <c r="AP20" i="2"/>
  <c r="AQ20" i="2"/>
  <c r="AR20" i="2"/>
  <c r="AP96" i="2" s="1"/>
  <c r="AS20" i="2"/>
  <c r="AT20" i="2"/>
  <c r="AU20" i="2"/>
  <c r="AQ96" i="2" s="1"/>
  <c r="AV20" i="2"/>
  <c r="AW20" i="2"/>
  <c r="AX20" i="2"/>
  <c r="AR96" i="2" s="1"/>
  <c r="AY20" i="2"/>
  <c r="AZ20" i="2"/>
  <c r="BA20" i="2"/>
  <c r="AS96" i="2" s="1"/>
  <c r="AK21" i="2"/>
  <c r="AL21" i="2"/>
  <c r="AN97" i="2" s="1"/>
  <c r="AM21" i="2"/>
  <c r="AN21" i="2"/>
  <c r="AO21" i="2"/>
  <c r="AO97" i="2" s="1"/>
  <c r="AP21" i="2"/>
  <c r="AQ21" i="2"/>
  <c r="AR21" i="2"/>
  <c r="AP97" i="2" s="1"/>
  <c r="AS21" i="2"/>
  <c r="AT21" i="2"/>
  <c r="AU21" i="2"/>
  <c r="AQ97" i="2" s="1"/>
  <c r="AV21" i="2"/>
  <c r="AW21" i="2"/>
  <c r="AX21" i="2"/>
  <c r="AR97" i="2" s="1"/>
  <c r="AY21" i="2"/>
  <c r="AZ21" i="2"/>
  <c r="BA21" i="2"/>
  <c r="AS97" i="2" s="1"/>
  <c r="AK22" i="2"/>
  <c r="AL22" i="2"/>
  <c r="AN98" i="2" s="1"/>
  <c r="AM22" i="2"/>
  <c r="AN22" i="2"/>
  <c r="AO22" i="2"/>
  <c r="AO98" i="2" s="1"/>
  <c r="AP22" i="2"/>
  <c r="AQ22" i="2"/>
  <c r="AR22" i="2"/>
  <c r="AP98" i="2" s="1"/>
  <c r="AS22" i="2"/>
  <c r="AT22" i="2"/>
  <c r="AU22" i="2"/>
  <c r="AQ98" i="2" s="1"/>
  <c r="AV22" i="2"/>
  <c r="AW22" i="2"/>
  <c r="AX22" i="2"/>
  <c r="AR98" i="2" s="1"/>
  <c r="AY22" i="2"/>
  <c r="AZ22" i="2"/>
  <c r="BA22" i="2"/>
  <c r="AS98" i="2" s="1"/>
  <c r="AK23" i="2"/>
  <c r="AL23" i="2"/>
  <c r="AN99" i="2" s="1"/>
  <c r="AM23" i="2"/>
  <c r="AN23" i="2"/>
  <c r="AO23" i="2"/>
  <c r="AO99" i="2" s="1"/>
  <c r="AP23" i="2"/>
  <c r="AQ23" i="2"/>
  <c r="AR23" i="2"/>
  <c r="AP99" i="2" s="1"/>
  <c r="AS23" i="2"/>
  <c r="AT23" i="2"/>
  <c r="AU23" i="2"/>
  <c r="AQ99" i="2" s="1"/>
  <c r="AV23" i="2"/>
  <c r="AW23" i="2"/>
  <c r="AX23" i="2"/>
  <c r="AR99" i="2" s="1"/>
  <c r="AY23" i="2"/>
  <c r="AZ23" i="2"/>
  <c r="BA23" i="2"/>
  <c r="AS99" i="2" s="1"/>
  <c r="AK24" i="2"/>
  <c r="AL24" i="2"/>
  <c r="AN100" i="2" s="1"/>
  <c r="AM24" i="2"/>
  <c r="AN24" i="2"/>
  <c r="AO24" i="2"/>
  <c r="AO100" i="2" s="1"/>
  <c r="AP24" i="2"/>
  <c r="AQ24" i="2"/>
  <c r="AR24" i="2"/>
  <c r="AP100" i="2" s="1"/>
  <c r="AS24" i="2"/>
  <c r="AT24" i="2"/>
  <c r="AU24" i="2"/>
  <c r="AQ100" i="2" s="1"/>
  <c r="AV24" i="2"/>
  <c r="AW24" i="2"/>
  <c r="AX24" i="2"/>
  <c r="AR100" i="2" s="1"/>
  <c r="AY24" i="2"/>
  <c r="AZ24" i="2"/>
  <c r="BA24" i="2"/>
  <c r="AS100" i="2" s="1"/>
  <c r="AJ19" i="2"/>
  <c r="AJ20" i="2"/>
  <c r="AJ21" i="2"/>
  <c r="AJ22" i="2"/>
  <c r="AJ23" i="2"/>
  <c r="AJ24" i="2"/>
  <c r="AJ18" i="2"/>
  <c r="U31" i="3" l="1"/>
  <c r="U38" i="3"/>
  <c r="O77" i="3"/>
  <c r="BA58" i="2"/>
  <c r="AZ58" i="2"/>
  <c r="AY58" i="2"/>
  <c r="AX58" i="2"/>
  <c r="AW58" i="2"/>
  <c r="AV58" i="2"/>
  <c r="AU58" i="2"/>
  <c r="AT58" i="2"/>
  <c r="AS58" i="2"/>
  <c r="AR58" i="2"/>
  <c r="AQ58" i="2"/>
  <c r="AP58" i="2"/>
  <c r="AO58" i="2"/>
  <c r="AN58" i="2"/>
  <c r="AM58" i="2"/>
  <c r="V37" i="3" l="1"/>
  <c r="U32" i="3"/>
  <c r="P76" i="3" s="1"/>
  <c r="P77" i="3"/>
  <c r="O76" i="3"/>
  <c r="AQ68" i="2"/>
  <c r="AP69" i="2"/>
  <c r="AP68" i="2"/>
  <c r="AZ35" i="2"/>
  <c r="AW35" i="2"/>
  <c r="AT35" i="2"/>
  <c r="AQ35" i="2"/>
  <c r="AN35" i="2"/>
  <c r="B35" i="2"/>
  <c r="Q77" i="3" l="1"/>
  <c r="V38" i="3"/>
  <c r="V31" i="3"/>
  <c r="AO35" i="2"/>
  <c r="BA35" i="2"/>
  <c r="AX35" i="2"/>
  <c r="AU35" i="2"/>
  <c r="AR35" i="2"/>
  <c r="R77" i="3" l="1"/>
  <c r="V32" i="3"/>
  <c r="R76" i="3" s="1"/>
  <c r="X37" i="3"/>
  <c r="W38" i="3"/>
  <c r="W39" i="3"/>
  <c r="Q76" i="3"/>
  <c r="W32" i="3"/>
  <c r="AQ69" i="2"/>
  <c r="AL60" i="2"/>
  <c r="AL48" i="2" s="1"/>
  <c r="BA60" i="2"/>
  <c r="BA48" i="2" s="1"/>
  <c r="AZ60" i="2"/>
  <c r="AZ48" i="2" s="1"/>
  <c r="AY60" i="2"/>
  <c r="AY48" i="2" s="1"/>
  <c r="AX60" i="2"/>
  <c r="AX48" i="2" s="1"/>
  <c r="AW60" i="2"/>
  <c r="AW48" i="2" s="1"/>
  <c r="AV60" i="2"/>
  <c r="AV48" i="2" s="1"/>
  <c r="AU60" i="2"/>
  <c r="AU48" i="2" s="1"/>
  <c r="AU64" i="2" s="1"/>
  <c r="AT60" i="2"/>
  <c r="AT48" i="2" s="1"/>
  <c r="AT64" i="2" s="1"/>
  <c r="AS60" i="2"/>
  <c r="AS48" i="2" s="1"/>
  <c r="AS64" i="2" s="1"/>
  <c r="AR60" i="2"/>
  <c r="AR48" i="2" s="1"/>
  <c r="AR64" i="2" s="1"/>
  <c r="AQ60" i="2"/>
  <c r="AQ48" i="2" s="1"/>
  <c r="AQ64" i="2" s="1"/>
  <c r="AP60" i="2"/>
  <c r="AP48" i="2" s="1"/>
  <c r="AP64" i="2" s="1"/>
  <c r="AN60" i="2"/>
  <c r="AN48" i="2" s="1"/>
  <c r="AN64" i="2" s="1"/>
  <c r="AM60" i="2"/>
  <c r="AM48" i="2" s="1"/>
  <c r="AM64" i="2" s="1"/>
  <c r="AZ49" i="2"/>
  <c r="BA49" i="2" s="1"/>
  <c r="AW49" i="2"/>
  <c r="AX49" i="2" s="1"/>
  <c r="AT49" i="2"/>
  <c r="AU49" i="2" s="1"/>
  <c r="AQ49" i="2"/>
  <c r="AR49" i="2" s="1"/>
  <c r="AN49" i="2"/>
  <c r="AO49" i="2" s="1"/>
  <c r="BA47" i="2"/>
  <c r="AZ47" i="2"/>
  <c r="AY47" i="2"/>
  <c r="AY50" i="2" s="1"/>
  <c r="AX47" i="2"/>
  <c r="AW47" i="2"/>
  <c r="AV47" i="2"/>
  <c r="AV50" i="2" s="1"/>
  <c r="AU47" i="2"/>
  <c r="AT47" i="2"/>
  <c r="AS47" i="2"/>
  <c r="AR47" i="2"/>
  <c r="AQ47" i="2"/>
  <c r="AP47" i="2"/>
  <c r="AP50" i="2" s="1"/>
  <c r="AO47" i="2"/>
  <c r="AN47" i="2"/>
  <c r="AM47" i="2"/>
  <c r="AM50" i="2" s="1"/>
  <c r="AM52" i="2" s="1"/>
  <c r="AF79" i="2" s="1"/>
  <c r="AL47" i="2"/>
  <c r="AK47" i="2"/>
  <c r="AJ47" i="2"/>
  <c r="B47" i="2"/>
  <c r="B45" i="2"/>
  <c r="B52" i="2" s="1"/>
  <c r="AZ42" i="2"/>
  <c r="AW42" i="2"/>
  <c r="AT42" i="2"/>
  <c r="AQ42" i="2"/>
  <c r="AN42" i="2"/>
  <c r="BA41" i="2"/>
  <c r="AZ41" i="2"/>
  <c r="AY41" i="2"/>
  <c r="AY43" i="2" s="1"/>
  <c r="AY45" i="2" s="1"/>
  <c r="AV78" i="2" s="1"/>
  <c r="AX41" i="2"/>
  <c r="AW41" i="2"/>
  <c r="AV41" i="2"/>
  <c r="AV43" i="2" s="1"/>
  <c r="AU41" i="2"/>
  <c r="AT41" i="2"/>
  <c r="AS41" i="2"/>
  <c r="AS43" i="2" s="1"/>
  <c r="AS44" i="2" s="1"/>
  <c r="AM78" i="2" s="1"/>
  <c r="AR41" i="2"/>
  <c r="AQ41" i="2"/>
  <c r="AP41" i="2"/>
  <c r="AP43" i="2" s="1"/>
  <c r="AO41" i="2"/>
  <c r="AN41" i="2"/>
  <c r="AM41" i="2"/>
  <c r="AM43" i="2" s="1"/>
  <c r="AM45" i="2" s="1"/>
  <c r="AF78" i="2" s="1"/>
  <c r="AL41" i="2"/>
  <c r="AK41" i="2"/>
  <c r="AJ41" i="2"/>
  <c r="B41" i="2"/>
  <c r="BA34" i="2"/>
  <c r="AZ34" i="2"/>
  <c r="AY34" i="2"/>
  <c r="AX34" i="2"/>
  <c r="AW34" i="2"/>
  <c r="AV34" i="2"/>
  <c r="AU34" i="2"/>
  <c r="AT34" i="2"/>
  <c r="AS34" i="2"/>
  <c r="AR34" i="2"/>
  <c r="AQ34" i="2"/>
  <c r="AP34" i="2"/>
  <c r="AO34" i="2"/>
  <c r="AN34" i="2"/>
  <c r="AM34" i="2"/>
  <c r="AM36" i="2" s="1"/>
  <c r="AL34" i="2"/>
  <c r="AK34" i="2"/>
  <c r="AJ34" i="2"/>
  <c r="B34" i="2"/>
  <c r="B49" i="2"/>
  <c r="BA28" i="2"/>
  <c r="AZ28" i="2"/>
  <c r="AY28" i="2"/>
  <c r="AX28" i="2"/>
  <c r="AW28" i="2"/>
  <c r="AV28" i="2"/>
  <c r="AU28" i="2"/>
  <c r="AT28" i="2"/>
  <c r="AS28" i="2"/>
  <c r="AR28" i="2"/>
  <c r="AQ28" i="2"/>
  <c r="AP28" i="2"/>
  <c r="AO28" i="2"/>
  <c r="AN28" i="2"/>
  <c r="AM28" i="2"/>
  <c r="AM30" i="2" s="1"/>
  <c r="AL28" i="2"/>
  <c r="AK28" i="2"/>
  <c r="AJ28" i="2"/>
  <c r="B28" i="2"/>
  <c r="BA27" i="2"/>
  <c r="AX27" i="2"/>
  <c r="AW27" i="2"/>
  <c r="AV27" i="2"/>
  <c r="AU27" i="2"/>
  <c r="AT27" i="2"/>
  <c r="AS27" i="2"/>
  <c r="AR27" i="2"/>
  <c r="AR62" i="2" s="1"/>
  <c r="AQ27" i="2"/>
  <c r="AQ62" i="2" s="1"/>
  <c r="AP27" i="2"/>
  <c r="AP62" i="2" s="1"/>
  <c r="AO27" i="2"/>
  <c r="AO62" i="2" s="1"/>
  <c r="AN27" i="2"/>
  <c r="AN62" i="2" s="1"/>
  <c r="AM27" i="2"/>
  <c r="AM62" i="2" s="1"/>
  <c r="AL27" i="2"/>
  <c r="AK27" i="2"/>
  <c r="AJ27" i="2"/>
  <c r="X38" i="3" l="1"/>
  <c r="S77" i="3"/>
  <c r="X31" i="3"/>
  <c r="AM37" i="2"/>
  <c r="AE77" i="2" s="1"/>
  <c r="AM38" i="2"/>
  <c r="AP36" i="2"/>
  <c r="AP55" i="2"/>
  <c r="AN36" i="2"/>
  <c r="AN55" i="2"/>
  <c r="AO36" i="2"/>
  <c r="AO55" i="2"/>
  <c r="AS36" i="2"/>
  <c r="AS55" i="2"/>
  <c r="AQ29" i="2"/>
  <c r="AQ30" i="2" s="1"/>
  <c r="AT29" i="2"/>
  <c r="AT30" i="2" s="1"/>
  <c r="AR36" i="2"/>
  <c r="AR55" i="2"/>
  <c r="AZ29" i="2"/>
  <c r="AZ30" i="2" s="1"/>
  <c r="AV36" i="2"/>
  <c r="AV55" i="2"/>
  <c r="AX36" i="2"/>
  <c r="AX55" i="2"/>
  <c r="BA36" i="2"/>
  <c r="BA55" i="2"/>
  <c r="AT55" i="2"/>
  <c r="AU55" i="2"/>
  <c r="AQ36" i="2"/>
  <c r="AQ55" i="2"/>
  <c r="AX42" i="2"/>
  <c r="AX29" i="2" s="1"/>
  <c r="AX30" i="2" s="1"/>
  <c r="AW29" i="2"/>
  <c r="AW30" i="2" s="1"/>
  <c r="AW36" i="2"/>
  <c r="AW55" i="2"/>
  <c r="AM55" i="2"/>
  <c r="AN29" i="2"/>
  <c r="AN30" i="2" s="1"/>
  <c r="AN56" i="2" s="1"/>
  <c r="AY36" i="2"/>
  <c r="AY55" i="2"/>
  <c r="AZ36" i="2"/>
  <c r="AZ55" i="2"/>
  <c r="AQ43" i="2"/>
  <c r="AQ45" i="2" s="1"/>
  <c r="AL78" i="2" s="1"/>
  <c r="AT43" i="2"/>
  <c r="AT44" i="2" s="1"/>
  <c r="AO78" i="2" s="1"/>
  <c r="AV30" i="2"/>
  <c r="AY30" i="2"/>
  <c r="AS30" i="2"/>
  <c r="AU36" i="2"/>
  <c r="AT65" i="2"/>
  <c r="AO80" i="2" s="1"/>
  <c r="AT66" i="2"/>
  <c r="AP80" i="2" s="1"/>
  <c r="AS65" i="2"/>
  <c r="AM80" i="2" s="1"/>
  <c r="AS66" i="2"/>
  <c r="AN80" i="2" s="1"/>
  <c r="AT36" i="2"/>
  <c r="AN50" i="2"/>
  <c r="AN52" i="2" s="1"/>
  <c r="AH79" i="2" s="1"/>
  <c r="AS45" i="2"/>
  <c r="AN78" i="2" s="1"/>
  <c r="AO60" i="2"/>
  <c r="AO48" i="2" s="1"/>
  <c r="AO64" i="2" s="1"/>
  <c r="AQ66" i="2" s="1"/>
  <c r="AL80" i="2" s="1"/>
  <c r="AO50" i="2"/>
  <c r="AP51" i="2"/>
  <c r="AI79" i="2" s="1"/>
  <c r="AP52" i="2"/>
  <c r="AJ79" i="2" s="1"/>
  <c r="AP45" i="2"/>
  <c r="AJ78" i="2" s="1"/>
  <c r="AP44" i="2"/>
  <c r="AI78" i="2" s="1"/>
  <c r="AW43" i="2"/>
  <c r="AW45" i="2" s="1"/>
  <c r="AT78" i="2" s="1"/>
  <c r="AQ50" i="2"/>
  <c r="AQ52" i="2" s="1"/>
  <c r="AL79" i="2" s="1"/>
  <c r="AR50" i="2"/>
  <c r="AR53" i="2" s="1"/>
  <c r="AT50" i="2"/>
  <c r="AU50" i="2"/>
  <c r="AU53" i="2" s="1"/>
  <c r="AN43" i="2"/>
  <c r="AN45" i="2" s="1"/>
  <c r="AH78" i="2" s="1"/>
  <c r="AW50" i="2"/>
  <c r="AW51" i="2" s="1"/>
  <c r="AS79" i="2" s="1"/>
  <c r="AX50" i="2"/>
  <c r="AX53" i="2" s="1"/>
  <c r="AU42" i="2"/>
  <c r="AZ50" i="2"/>
  <c r="AZ51" i="2" s="1"/>
  <c r="AW79" i="2" s="1"/>
  <c r="BA50" i="2"/>
  <c r="BA53" i="2" s="1"/>
  <c r="AZ43" i="2"/>
  <c r="AZ45" i="2" s="1"/>
  <c r="AX78" i="2" s="1"/>
  <c r="AM44" i="2"/>
  <c r="AE78" i="2" s="1"/>
  <c r="AP30" i="2"/>
  <c r="AV45" i="2"/>
  <c r="AR78" i="2" s="1"/>
  <c r="AV44" i="2"/>
  <c r="AQ78" i="2" s="1"/>
  <c r="AV51" i="2"/>
  <c r="AQ79" i="2" s="1"/>
  <c r="AV52" i="2"/>
  <c r="AR79" i="2" s="1"/>
  <c r="AY51" i="2"/>
  <c r="AU79" i="2" s="1"/>
  <c r="AY52" i="2"/>
  <c r="AV79" i="2" s="1"/>
  <c r="AT45" i="2"/>
  <c r="AP78" i="2" s="1"/>
  <c r="AO42" i="2"/>
  <c r="AO29" i="2" s="1"/>
  <c r="AJ55" i="2"/>
  <c r="AK55" i="2"/>
  <c r="AR42" i="2"/>
  <c r="AS50" i="2"/>
  <c r="AL55" i="2"/>
  <c r="AY44" i="2"/>
  <c r="AU78" i="2" s="1"/>
  <c r="BA42" i="2"/>
  <c r="BA29" i="2" s="1"/>
  <c r="AM51" i="2"/>
  <c r="AE79" i="2" s="1"/>
  <c r="S76" i="3" l="1"/>
  <c r="X32" i="3"/>
  <c r="T76" i="3" s="1"/>
  <c r="T77" i="3"/>
  <c r="Y37" i="3"/>
  <c r="AP56" i="2"/>
  <c r="AZ56" i="2"/>
  <c r="AM32" i="2"/>
  <c r="AF76" i="2" s="1"/>
  <c r="AF77" i="2"/>
  <c r="AX43" i="2"/>
  <c r="AM31" i="2"/>
  <c r="AE76" i="2" s="1"/>
  <c r="AW56" i="2"/>
  <c r="AX56" i="2"/>
  <c r="AM56" i="2"/>
  <c r="AT56" i="2"/>
  <c r="AQ56" i="2"/>
  <c r="AY56" i="2"/>
  <c r="AU29" i="2"/>
  <c r="AU30" i="2" s="1"/>
  <c r="AU56" i="2" s="1"/>
  <c r="AS56" i="2"/>
  <c r="AV56" i="2"/>
  <c r="AR29" i="2"/>
  <c r="AR30" i="2" s="1"/>
  <c r="AN37" i="2"/>
  <c r="AN51" i="2"/>
  <c r="AG79" i="2" s="1"/>
  <c r="AQ44" i="2"/>
  <c r="AK78" i="2" s="1"/>
  <c r="AW44" i="2"/>
  <c r="AS78" i="2" s="1"/>
  <c r="AU66" i="2"/>
  <c r="AO53" i="2"/>
  <c r="AQ51" i="2"/>
  <c r="AK79" i="2" s="1"/>
  <c r="AR52" i="2"/>
  <c r="AO52" i="2"/>
  <c r="AX45" i="2"/>
  <c r="AN44" i="2"/>
  <c r="AG78" i="2" s="1"/>
  <c r="AN65" i="2"/>
  <c r="AG80" i="2" s="1"/>
  <c r="AQ65" i="2"/>
  <c r="AK80" i="2" s="1"/>
  <c r="AM65" i="2"/>
  <c r="AE80" i="2" s="1"/>
  <c r="AM66" i="2"/>
  <c r="AF80" i="2" s="1"/>
  <c r="AN66" i="2"/>
  <c r="AH80" i="2" s="1"/>
  <c r="AP65" i="2"/>
  <c r="AI80" i="2" s="1"/>
  <c r="AZ44" i="2"/>
  <c r="AW78" i="2" s="1"/>
  <c r="AT51" i="2"/>
  <c r="AO79" i="2" s="1"/>
  <c r="AP66" i="2"/>
  <c r="AJ80" i="2" s="1"/>
  <c r="AZ52" i="2"/>
  <c r="AU43" i="2"/>
  <c r="AW52" i="2"/>
  <c r="AT52" i="2"/>
  <c r="AP79" i="2" s="1"/>
  <c r="AO43" i="2"/>
  <c r="AO30" i="2"/>
  <c r="AO56" i="2" s="1"/>
  <c r="AR43" i="2"/>
  <c r="BA30" i="2"/>
  <c r="BA43" i="2"/>
  <c r="AS51" i="2"/>
  <c r="AM79" i="2" s="1"/>
  <c r="AS52" i="2"/>
  <c r="AN79" i="2" s="1"/>
  <c r="Y38" i="3" l="1"/>
  <c r="U77" i="3"/>
  <c r="Y31" i="3"/>
  <c r="Z38" i="3"/>
  <c r="Z39" i="3"/>
  <c r="AX52" i="2"/>
  <c r="AT79" i="2"/>
  <c r="AN38" i="2"/>
  <c r="AG77" i="2"/>
  <c r="BA52" i="2"/>
  <c r="AX79" i="2"/>
  <c r="BA56" i="2"/>
  <c r="AR56" i="2"/>
  <c r="AN31" i="2"/>
  <c r="AG76" i="2" s="1"/>
  <c r="BA45" i="2"/>
  <c r="AR66" i="2"/>
  <c r="AO66" i="2"/>
  <c r="AO45" i="2"/>
  <c r="AU52" i="2"/>
  <c r="AR45" i="2"/>
  <c r="AU45" i="2"/>
  <c r="U76" i="3" l="1"/>
  <c r="V77" i="3"/>
  <c r="Y32" i="3"/>
  <c r="V76" i="3" s="1"/>
  <c r="AA37" i="3"/>
  <c r="AN32" i="2"/>
  <c r="AO32" i="2" s="1"/>
  <c r="AO38" i="2"/>
  <c r="AO39" i="2"/>
  <c r="AI77" i="2"/>
  <c r="AH77" i="2"/>
  <c r="Z32" i="3" l="1"/>
  <c r="W77" i="3"/>
  <c r="AA38" i="3"/>
  <c r="AA31" i="3"/>
  <c r="AH76" i="2"/>
  <c r="AP31" i="2"/>
  <c r="AI76" i="2" s="1"/>
  <c r="AP38" i="2"/>
  <c r="AJ77" i="2" s="1"/>
  <c r="W76" i="3" l="1"/>
  <c r="X77" i="3"/>
  <c r="AA32" i="3"/>
  <c r="X76" i="3" s="1"/>
  <c r="AB37" i="3"/>
  <c r="AP32" i="2"/>
  <c r="AJ76" i="2" s="1"/>
  <c r="AQ37" i="2"/>
  <c r="AK77" i="2" s="1"/>
  <c r="Y77" i="3" l="1"/>
  <c r="AB38" i="3"/>
  <c r="AC39" i="3" s="1"/>
  <c r="AB31" i="3"/>
  <c r="AQ31" i="2"/>
  <c r="AK76" i="2" s="1"/>
  <c r="AQ38" i="2"/>
  <c r="AC38" i="3" l="1"/>
  <c r="Y76" i="3"/>
  <c r="Z77" i="3"/>
  <c r="AB32" i="3"/>
  <c r="Z76" i="3" s="1"/>
  <c r="AL77" i="2"/>
  <c r="AM77" i="2"/>
  <c r="AQ32" i="2"/>
  <c r="AR32" i="2" s="1"/>
  <c r="AR38" i="2"/>
  <c r="AR39" i="2"/>
  <c r="AC32" i="3" l="1"/>
  <c r="AS38" i="2"/>
  <c r="AS32" i="2" s="1"/>
  <c r="AN76" i="2" s="1"/>
  <c r="AS31" i="2"/>
  <c r="AM76" i="2" s="1"/>
  <c r="AL76" i="2"/>
  <c r="AT37" i="2" l="1"/>
  <c r="AO77" i="2" s="1"/>
  <c r="AN77" i="2"/>
  <c r="AT38" i="2" l="1"/>
  <c r="AU38" i="2" s="1"/>
  <c r="AT31" i="2"/>
  <c r="AO76" i="2" s="1"/>
  <c r="AU39" i="2" l="1"/>
  <c r="AT32" i="2"/>
  <c r="AU32" i="2" s="1"/>
  <c r="AP77" i="2"/>
  <c r="AQ77" i="2"/>
  <c r="AV38" i="2"/>
  <c r="AR77" i="2" s="1"/>
  <c r="AV31" i="2" l="1"/>
  <c r="AQ76" i="2" s="1"/>
  <c r="AP76" i="2"/>
  <c r="AW37" i="2"/>
  <c r="AS77" i="2" s="1"/>
  <c r="AV32" i="2"/>
  <c r="AR76" i="2" s="1"/>
  <c r="AW31" i="2" l="1"/>
  <c r="AS76" i="2" s="1"/>
  <c r="AW38" i="2"/>
  <c r="AT77" i="2" l="1"/>
  <c r="AX38" i="2"/>
  <c r="AU77" i="2"/>
  <c r="AX39" i="2"/>
  <c r="AW32" i="2"/>
  <c r="AX32" i="2" l="1"/>
  <c r="AT76" i="2"/>
  <c r="AY31" i="2"/>
  <c r="AU76" i="2" s="1"/>
  <c r="AY38" i="2"/>
  <c r="AV77" i="2" s="1"/>
  <c r="AZ37" i="2" l="1"/>
  <c r="AW77" i="2" s="1"/>
  <c r="AY32" i="2"/>
  <c r="AV76" i="2" s="1"/>
  <c r="AZ31" i="2" l="1"/>
  <c r="AW76" i="2" s="1"/>
  <c r="AZ38" i="2"/>
  <c r="AZ32" i="2" l="1"/>
  <c r="AX76" i="2" s="1"/>
  <c r="AX77" i="2"/>
  <c r="BA38" i="2"/>
  <c r="BA39" i="2"/>
  <c r="BA32" i="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arend Kouwenaar</author>
  </authors>
  <commentList>
    <comment ref="AQ35" authorId="0" shapeId="0" xr:uid="{82017865-02B4-494B-BA4F-EAC5758C4BB0}">
      <text>
        <r>
          <rPr>
            <sz val="13"/>
            <color indexed="81"/>
            <rFont val="Tahoma"/>
            <family val="2"/>
          </rPr>
          <t>is this backloading correct?</t>
        </r>
      </text>
    </comment>
    <comment ref="AT35" authorId="0" shapeId="0" xr:uid="{1AB3B30C-D163-4CA9-98A6-AD4F8CA643AC}">
      <text>
        <r>
          <rPr>
            <sz val="13"/>
            <color indexed="81"/>
            <rFont val="Tahoma"/>
            <family val="2"/>
          </rPr>
          <t>is this backloading correct?</t>
        </r>
      </text>
    </comment>
    <comment ref="AW35" authorId="0" shapeId="0" xr:uid="{7E51D558-A144-4446-9BEB-89F0DA6AD31D}">
      <text>
        <r>
          <rPr>
            <sz val="13"/>
            <color indexed="81"/>
            <rFont val="Tahoma"/>
            <family val="2"/>
          </rPr>
          <t>is this backloading correct?</t>
        </r>
      </text>
    </comment>
    <comment ref="AZ35" authorId="0" shapeId="0" xr:uid="{8AA4BC98-E4CC-48FC-8A28-F7C94C4E46C0}">
      <text>
        <r>
          <rPr>
            <sz val="13"/>
            <color indexed="81"/>
            <rFont val="Tahoma"/>
            <family val="2"/>
          </rPr>
          <t>is this backloading correct?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arend Kouwenaar</author>
  </authors>
  <commentList>
    <comment ref="S35" authorId="0" shapeId="0" xr:uid="{3A16BF08-72D5-4008-9835-AE1F9B7A2FB1}">
      <text>
        <r>
          <rPr>
            <sz val="13"/>
            <color indexed="81"/>
            <rFont val="Tahoma"/>
            <family val="2"/>
          </rPr>
          <t>is this backloading correct?</t>
        </r>
      </text>
    </comment>
    <comment ref="V35" authorId="0" shapeId="0" xr:uid="{23896FCA-0EAE-4801-951F-83673CEAA400}">
      <text>
        <r>
          <rPr>
            <sz val="13"/>
            <color indexed="81"/>
            <rFont val="Tahoma"/>
            <family val="2"/>
          </rPr>
          <t>is this backloading correct?</t>
        </r>
      </text>
    </comment>
    <comment ref="Y35" authorId="0" shapeId="0" xr:uid="{3B167857-AEC6-4E53-9BA2-3C0772A13166}">
      <text>
        <r>
          <rPr>
            <sz val="13"/>
            <color indexed="81"/>
            <rFont val="Tahoma"/>
            <family val="2"/>
          </rPr>
          <t>is this backloading correct?</t>
        </r>
      </text>
    </comment>
    <comment ref="AB35" authorId="0" shapeId="0" xr:uid="{2A88CC1A-0DA2-4530-8D1B-263ACE573340}">
      <text>
        <r>
          <rPr>
            <sz val="13"/>
            <color indexed="81"/>
            <rFont val="Tahoma"/>
            <family val="2"/>
          </rPr>
          <t>is this backloading correct?</t>
        </r>
      </text>
    </comment>
  </commentList>
</comments>
</file>

<file path=xl/sharedStrings.xml><?xml version="1.0" encoding="utf-8"?>
<sst xmlns="http://schemas.openxmlformats.org/spreadsheetml/2006/main" count="511" uniqueCount="139">
  <si>
    <t>Extract from FISCAL in-year, with corrected GDP numbers, lonked to intMF FY GDP</t>
  </si>
  <si>
    <t>III.2 FISCAL  "TOFE" GFS 2014 PRESENTATION - detailed TOFE</t>
  </si>
  <si>
    <t>2013/14</t>
  </si>
  <si>
    <t>2014/15</t>
  </si>
  <si>
    <t>2015/16</t>
  </si>
  <si>
    <t>2016/17</t>
  </si>
  <si>
    <t>2017/18</t>
  </si>
  <si>
    <t>2018/19</t>
  </si>
  <si>
    <t>2019/20</t>
  </si>
  <si>
    <t>2020/2021</t>
  </si>
  <si>
    <t>2021/2022</t>
  </si>
  <si>
    <t>2022/2023</t>
  </si>
  <si>
    <t>2023/2024</t>
  </si>
  <si>
    <t>2024/2025</t>
  </si>
  <si>
    <t>2025/2026</t>
  </si>
  <si>
    <t>2026/2027</t>
  </si>
  <si>
    <t>2027/2028</t>
  </si>
  <si>
    <t>2028/2029</t>
  </si>
  <si>
    <t>2029/2030</t>
  </si>
  <si>
    <t>Jul-Dec</t>
  </si>
  <si>
    <t>Jan-Jun</t>
  </si>
  <si>
    <t>Proj.</t>
  </si>
  <si>
    <t>Est.</t>
  </si>
  <si>
    <t>July-Dec</t>
  </si>
  <si>
    <t>Jan-June</t>
  </si>
  <si>
    <t xml:space="preserve">Nominal GDP </t>
  </si>
  <si>
    <t>Grev in % of GDP</t>
  </si>
  <si>
    <t>Gdem in % of GDP</t>
  </si>
  <si>
    <t>Other Expenditure of %GDP</t>
  </si>
  <si>
    <t>Tot Spending in % of GDP</t>
  </si>
  <si>
    <t>Deficit (Excl. Grants ) % of GDP</t>
  </si>
  <si>
    <t>Grev (Taxes and Other Rev.)</t>
  </si>
  <si>
    <t>Gdem (Salaries, Use of G&amp;S, (CG,LG,EBUS'S),Capital Spending, Other Expense)</t>
  </si>
  <si>
    <t>Other Expenditure (Subsidies, Interest, Social Benefits, Net Lending)</t>
  </si>
  <si>
    <t>Tot Spending (Incl. Net Lending)</t>
  </si>
  <si>
    <t>Deficit ( Excl. Grants) 1986</t>
  </si>
  <si>
    <t>Check</t>
  </si>
  <si>
    <t/>
  </si>
  <si>
    <t>deficit corrected for frontloading</t>
  </si>
  <si>
    <t>residual smoothened deficit first quarter sem</t>
  </si>
  <si>
    <t xml:space="preserve">                                                               second Q in sem</t>
  </si>
  <si>
    <t>smoothened revenue   first quarter sem</t>
  </si>
  <si>
    <t xml:space="preserve">                                                 second Q in sem</t>
  </si>
  <si>
    <t xml:space="preserve">correction </t>
  </si>
  <si>
    <t>smoothened gdemand first quarter sem</t>
  </si>
  <si>
    <t xml:space="preserve">  o/w: Bugesera</t>
  </si>
  <si>
    <t>oexp corrected for other OEXP unevenness</t>
  </si>
  <si>
    <t>smoothened other expend  first quarter sem</t>
  </si>
  <si>
    <t xml:space="preserve">       in % of FY GDP</t>
  </si>
  <si>
    <t>private investment shock first quarter sem</t>
  </si>
  <si>
    <t>inv/GDP</t>
  </si>
  <si>
    <t xml:space="preserve">                                                              second Q in sem</t>
  </si>
  <si>
    <t>Q factors</t>
  </si>
  <si>
    <t>fraction impact</t>
  </si>
  <si>
    <t>NB Bugesera spending govt equity</t>
  </si>
  <si>
    <t xml:space="preserve">      Bugesera new equity flow Qatar</t>
  </si>
  <si>
    <t xml:space="preserve">     PM oexp excl. Bugesera</t>
  </si>
  <si>
    <r>
      <t xml:space="preserve">revenue corrected for backloading </t>
    </r>
    <r>
      <rPr>
        <b/>
        <i/>
        <sz val="11"/>
        <color rgb="FFC00000"/>
        <rFont val="Aptos Narrow"/>
        <family val="2"/>
        <scheme val="minor"/>
      </rPr>
      <t>(check</t>
    </r>
    <r>
      <rPr>
        <b/>
        <i/>
        <sz val="11"/>
        <color theme="1"/>
        <rFont val="Aptos Narrow"/>
        <family val="2"/>
        <scheme val="minor"/>
      </rPr>
      <t>)</t>
    </r>
  </si>
  <si>
    <t>private investment shock ~ Bugesera (Govt part)</t>
  </si>
  <si>
    <t>average 2025/26-2026/27</t>
  </si>
  <si>
    <t xml:space="preserve">    O/w Net Lending</t>
  </si>
  <si>
    <t xml:space="preserve">    O/w Bugesera </t>
  </si>
  <si>
    <t xml:space="preserve">            O/w Bugesera </t>
  </si>
  <si>
    <t>check rev-sp-def</t>
  </si>
  <si>
    <t>check corrected  rev-sp-def</t>
  </si>
  <si>
    <t>correction (+rev corr - gdem corr -oexp corr)</t>
  </si>
  <si>
    <r>
      <t xml:space="preserve">gdemand corrected for frontloading </t>
    </r>
    <r>
      <rPr>
        <b/>
        <i/>
        <sz val="9"/>
        <color rgb="FFC00000"/>
        <rFont val="Aptos Narrow"/>
        <family val="2"/>
        <scheme val="minor"/>
      </rPr>
      <t>typically higher spending  sem II</t>
    </r>
  </si>
  <si>
    <t xml:space="preserve">        Adjust big project (Bugesera) in mln USD (DFI + Equity+ Ext.loans, also in BOP; ATL)</t>
  </si>
  <si>
    <t xml:space="preserve">Bugesera Qatar FDI Equity (from 2025 as in BOP in mln USD) </t>
  </si>
  <si>
    <t>Bugesera Govt Equity (ATL) (from 2024 as in BOP in mln USD)</t>
  </si>
  <si>
    <t>Exchange rate RWF/USD (end of period) CY</t>
  </si>
  <si>
    <t>period average ER</t>
  </si>
  <si>
    <t xml:space="preserve">Bugesera Qatar FDI Equity (from 2025 as in BOP in bln RWF) </t>
  </si>
  <si>
    <t>Bugesera Govt Equity (ATL) (from 2024 as in BOP in bln RWF)</t>
  </si>
  <si>
    <t>2024Q3</t>
  </si>
  <si>
    <t>2024Q4</t>
  </si>
  <si>
    <t>2025Q1</t>
  </si>
  <si>
    <t>2025Q2</t>
  </si>
  <si>
    <t>2025Q3</t>
  </si>
  <si>
    <t>2025Q4</t>
  </si>
  <si>
    <t>2026Q1</t>
  </si>
  <si>
    <t>2026Q2</t>
  </si>
  <si>
    <t>2026Q3</t>
  </si>
  <si>
    <t>2026Q4</t>
  </si>
  <si>
    <t>2027Q1</t>
  </si>
  <si>
    <t>2027Q2</t>
  </si>
  <si>
    <t>2027Q3</t>
  </si>
  <si>
    <t>2027Q4</t>
  </si>
  <si>
    <t>2028Q1</t>
  </si>
  <si>
    <t>2028Q2</t>
  </si>
  <si>
    <t>2028Q3</t>
  </si>
  <si>
    <t>2028Q4</t>
  </si>
  <si>
    <t>2029Q1</t>
  </si>
  <si>
    <t>2029Q2</t>
  </si>
  <si>
    <t>2029Q3</t>
  </si>
  <si>
    <t>2029Q4</t>
  </si>
  <si>
    <t>2030Q1</t>
  </si>
  <si>
    <t>2030Q2</t>
  </si>
  <si>
    <t>March 2026 Proj.</t>
  </si>
  <si>
    <t>def_yq</t>
  </si>
  <si>
    <t>Deficit (excl. grants, % GDP)</t>
  </si>
  <si>
    <t>grev_yq</t>
  </si>
  <si>
    <t>Govt revenue (% GDP)</t>
  </si>
  <si>
    <t>gdem_yq</t>
  </si>
  <si>
    <t>Govt demand (% GDP)</t>
  </si>
  <si>
    <t>oexp_yq</t>
  </si>
  <si>
    <t>Other expenditure (% GDP)</t>
  </si>
  <si>
    <t>Oct 2025 Proj</t>
  </si>
  <si>
    <t>March 2026 IMF program (exract fr FISCAL)</t>
  </si>
  <si>
    <t>QMFM_fiscal_Baseline_tunes below this</t>
  </si>
  <si>
    <t>QMFM_fiscal_Baseline_tunes above this</t>
  </si>
  <si>
    <t>QMFM_fiscal_tunes_compare above this</t>
  </si>
  <si>
    <t>QMFM_fiscal_tunes_compare below this</t>
  </si>
  <si>
    <t>inv_yq</t>
  </si>
  <si>
    <t>QMFM Fiscal Tuning Baseline</t>
  </si>
  <si>
    <t>ny</t>
  </si>
  <si>
    <t>GDP (current prices)</t>
  </si>
  <si>
    <t>grev_y</t>
  </si>
  <si>
    <t>gdem_y</t>
  </si>
  <si>
    <t>oexp_y</t>
  </si>
  <si>
    <t>oexp_NL_y</t>
  </si>
  <si>
    <t>oexp_NKIA_y</t>
  </si>
  <si>
    <t>gexp_y</t>
  </si>
  <si>
    <t>Govt spending (% GDP)</t>
  </si>
  <si>
    <t>def_y</t>
  </si>
  <si>
    <t>Oct 2026 Proj.</t>
  </si>
  <si>
    <t xml:space="preserve">    Net Lending</t>
  </si>
  <si>
    <t xml:space="preserve">    Bugesera </t>
  </si>
  <si>
    <t>linked to blocks above</t>
  </si>
  <si>
    <t>values from previous round</t>
  </si>
  <si>
    <t>Memorandum FY fiscal stance comparison</t>
  </si>
  <si>
    <t>sum 2025-30 (US$m)</t>
  </si>
  <si>
    <t>sum 2025-30 (RWFb)</t>
  </si>
  <si>
    <t>Depreciation rate (RWF/US$)</t>
  </si>
  <si>
    <t>REAL RWFbln</t>
  </si>
  <si>
    <t>2025-30</t>
  </si>
  <si>
    <t>compare with</t>
  </si>
  <si>
    <t>March 2026 Projection IMF program</t>
  </si>
  <si>
    <t>Private inv shock (NKIA Govt, %GDP)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</si>
</sst>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1" formatCode="_(* #,##0_);_(* \(#,##0\);_(* &quot;-&quot;_);_(@_)"/>
    <numFmt numFmtId="43" formatCode="_(* #,##0.00_);_(* \(#,##0.00\);_(* &quot;-&quot;??_);_(@_)"/>
    <numFmt numFmtId="164" formatCode="#,##0.0"/>
    <numFmt numFmtId="165" formatCode="0.0%"/>
    <numFmt numFmtId="166" formatCode="_(* #,##0_);_(* \(#,##0\);_(* &quot;-&quot;??_);_(@_)"/>
    <numFmt numFmtId="167" formatCode="_(* #,##0.0_);_(* \(#,##0.0\);_(* &quot;-&quot;_);_(@_)"/>
    <numFmt numFmtId="168" formatCode="_(* #,##0.0_);_(* \(#,##0.0\);_(* &quot;-&quot;??_);_(@_)"/>
    <numFmt numFmtId="169" formatCode="_ * #,##0.00_ ;_ * \-#,##0.00_ ;_ * &quot;-&quot;??_ ;_ @_ "/>
    <numFmt numFmtId="170" formatCode="_-* #,##0.0\ _F_-;\-* #,##0.0\ _F_-;_-* &quot;-&quot;??\ _F_-;_-@_-"/>
    <numFmt numFmtId="171" formatCode="_-* #,##0.00\ _F_-;\-* #,##0.00\ _F_-;_-* &quot;-&quot;??\ _F_-;_-@_-"/>
    <numFmt numFmtId="172" formatCode="_-* #,##0\ _F_-;\-* #,##0\ _F_-;_-* &quot;-&quot;??\ _F_-;_-@_-"/>
  </numFmts>
  <fonts count="62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i/>
      <sz val="8"/>
      <color rgb="FF38761D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9"/>
      <color theme="1"/>
      <name val="Bahnschrift"/>
      <family val="2"/>
    </font>
    <font>
      <sz val="11"/>
      <color rgb="FFFF0000"/>
      <name val="Bahnschrift"/>
      <family val="2"/>
    </font>
    <font>
      <b/>
      <sz val="12"/>
      <color theme="1"/>
      <name val="Aptos Display"/>
      <family val="1"/>
      <scheme val="major"/>
    </font>
    <font>
      <b/>
      <sz val="10"/>
      <color theme="1"/>
      <name val="Aptos Display"/>
      <family val="1"/>
      <scheme val="major"/>
    </font>
    <font>
      <sz val="12"/>
      <color theme="1"/>
      <name val="Aptos Display"/>
      <family val="1"/>
      <scheme val="major"/>
    </font>
    <font>
      <sz val="10"/>
      <color theme="1"/>
      <name val="Aptos Display"/>
      <family val="1"/>
      <scheme val="major"/>
    </font>
    <font>
      <sz val="11"/>
      <color theme="1"/>
      <name val="Aptos Display"/>
      <family val="1"/>
      <scheme val="major"/>
    </font>
    <font>
      <sz val="12"/>
      <color rgb="FFFF0000"/>
      <name val="Aptos Display"/>
      <family val="1"/>
      <scheme val="major"/>
    </font>
    <font>
      <sz val="10"/>
      <color rgb="FFFF0000"/>
      <name val="Aptos Display"/>
      <family val="1"/>
      <scheme val="major"/>
    </font>
    <font>
      <sz val="11"/>
      <color rgb="FFFF0000"/>
      <name val="Aptos Display"/>
      <family val="1"/>
      <scheme val="major"/>
    </font>
    <font>
      <b/>
      <sz val="10"/>
      <color theme="1"/>
      <name val="Aptos Narrow"/>
      <family val="2"/>
      <scheme val="minor"/>
    </font>
    <font>
      <u/>
      <sz val="12"/>
      <color theme="1"/>
      <name val="Aptos Display"/>
      <family val="1"/>
      <scheme val="major"/>
    </font>
    <font>
      <sz val="9"/>
      <color rgb="FFC00000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i/>
      <sz val="10"/>
      <color theme="1"/>
      <name val="Aptos Narrow"/>
      <family val="2"/>
      <scheme val="minor"/>
    </font>
    <font>
      <sz val="10"/>
      <color rgb="FFC00000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sz val="8"/>
      <color rgb="FFFF0000"/>
      <name val="Aptos Narrow"/>
      <family val="2"/>
      <scheme val="minor"/>
    </font>
    <font>
      <sz val="10"/>
      <color rgb="FFFF0000"/>
      <name val="Aptos Narrow"/>
      <family val="2"/>
      <scheme val="minor"/>
    </font>
    <font>
      <b/>
      <sz val="10"/>
      <color rgb="FFA20000"/>
      <name val="Aptos Narrow"/>
      <family val="2"/>
      <scheme val="minor"/>
    </font>
    <font>
      <sz val="10"/>
      <color rgb="FFA20000"/>
      <name val="Aptos Narrow"/>
      <family val="2"/>
      <scheme val="minor"/>
    </font>
    <font>
      <sz val="8"/>
      <color theme="1"/>
      <name val="Aptos Narrow"/>
      <family val="2"/>
      <scheme val="minor"/>
    </font>
    <font>
      <sz val="8"/>
      <color theme="1"/>
      <name val="Aptos Display"/>
      <family val="1"/>
      <scheme val="major"/>
    </font>
    <font>
      <b/>
      <sz val="8"/>
      <color theme="1"/>
      <name val="Aptos Narrow"/>
      <family val="2"/>
      <scheme val="minor"/>
    </font>
    <font>
      <b/>
      <sz val="9"/>
      <color rgb="FFC00000"/>
      <name val="Aptos Narrow"/>
      <family val="2"/>
      <scheme val="minor"/>
    </font>
    <font>
      <sz val="13"/>
      <color indexed="81"/>
      <name val="Tahoma"/>
      <family val="2"/>
    </font>
    <font>
      <b/>
      <i/>
      <sz val="11"/>
      <color rgb="FFC0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i/>
      <sz val="9"/>
      <color rgb="FFC00000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color rgb="FFC00000"/>
      <name val="Bahnschrift"/>
      <family val="2"/>
    </font>
    <font>
      <sz val="11"/>
      <color theme="1"/>
      <name val="Aptos Narrow"/>
      <family val="2"/>
    </font>
    <font>
      <b/>
      <sz val="11"/>
      <color rgb="FFC00000"/>
      <name val="Aptos Narrow"/>
      <family val="2"/>
    </font>
    <font>
      <u/>
      <sz val="11"/>
      <color theme="1"/>
      <name val="Aptos Narrow"/>
      <family val="2"/>
    </font>
    <font>
      <b/>
      <sz val="11"/>
      <color theme="1"/>
      <name val="Aptos Narrow"/>
      <family val="2"/>
    </font>
    <font>
      <b/>
      <sz val="8"/>
      <color rgb="FFFF0000"/>
      <name val="Aptos Display"/>
      <family val="2"/>
      <scheme val="major"/>
    </font>
    <font>
      <b/>
      <sz val="9"/>
      <color rgb="FFFF0000"/>
      <name val="Aptos Narrow"/>
      <family val="2"/>
      <scheme val="minor"/>
    </font>
    <font>
      <b/>
      <sz val="8"/>
      <color rgb="FFFF0000"/>
      <name val="Aptos Narrow"/>
      <family val="2"/>
      <scheme val="minor"/>
    </font>
    <font>
      <sz val="11"/>
      <color theme="7" tint="-0.249977111117893"/>
      <name val="Aptos Narrow"/>
      <family val="2"/>
    </font>
    <font>
      <b/>
      <sz val="11"/>
      <color theme="7" tint="-0.249977111117893"/>
      <name val="Aptos Narrow"/>
      <family val="2"/>
    </font>
    <font>
      <sz val="11"/>
      <color theme="7" tint="-0.249977111117893"/>
      <name val="Aptos Narrow"/>
      <family val="2"/>
      <scheme val="minor"/>
    </font>
    <font>
      <u/>
      <sz val="11"/>
      <color theme="7" tint="-0.249977111117893"/>
      <name val="Aptos Narrow"/>
      <family val="2"/>
    </font>
    <font>
      <sz val="10"/>
      <color theme="7" tint="-0.249977111117893"/>
      <name val="Aptos Narrow"/>
      <family val="2"/>
      <scheme val="minor"/>
    </font>
    <font>
      <b/>
      <sz val="10"/>
      <color theme="1"/>
      <name val="Bahnschrift"/>
      <family val="2"/>
    </font>
    <font>
      <b/>
      <sz val="9"/>
      <color rgb="FFFF0000"/>
      <name val="Aptos Display"/>
      <family val="2"/>
      <scheme val="major"/>
    </font>
    <font>
      <sz val="12"/>
      <color theme="1"/>
      <name val="Bahnschrift"/>
      <family val="2"/>
    </font>
    <font>
      <b/>
      <sz val="10"/>
      <color rgb="FFC00000"/>
      <name val="Aptos Narrow"/>
      <family val="2"/>
      <scheme val="minor"/>
    </font>
    <font>
      <b/>
      <sz val="14"/>
      <color theme="1"/>
      <name val="Aptos Narrow"/>
      <family val="2"/>
    </font>
    <font>
      <sz val="9"/>
      <name val="Aptos Narrow"/>
      <family val="2"/>
      <scheme val="minor"/>
    </font>
    <font>
      <b/>
      <sz val="10"/>
      <color rgb="FFFF0000"/>
      <name val="Aptos Narrow"/>
      <family val="2"/>
      <scheme val="minor"/>
    </font>
    <font>
      <u val="singleAccounting"/>
      <sz val="11"/>
      <color rgb="FFFF0000"/>
      <name val="Aptos Narrow"/>
      <family val="2"/>
      <scheme val="minor"/>
    </font>
    <font>
      <b/>
      <sz val="8"/>
      <color rgb="FFC00000"/>
      <name val="Aptos Narrow"/>
      <family val="2"/>
      <scheme val="minor"/>
    </font>
    <font>
      <sz val="10"/>
      <name val="Arial"/>
      <family val="2"/>
    </font>
    <font>
      <b/>
      <sz val="10"/>
      <name val="Times New Roman"/>
      <family val="1"/>
    </font>
    <font>
      <b/>
      <sz val="10"/>
      <color rgb="FFC00000"/>
      <name val="Times New Roman"/>
      <family val="1"/>
    </font>
  </fonts>
  <fills count="9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BFEE8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indexed="42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/>
      <diagonal/>
    </border>
    <border>
      <left style="thick">
        <color rgb="FFC00000"/>
      </left>
      <right/>
      <top style="thick">
        <color rgb="FFC00000"/>
      </top>
      <bottom/>
      <diagonal/>
    </border>
    <border>
      <left/>
      <right/>
      <top style="thick">
        <color rgb="FFC00000"/>
      </top>
      <bottom/>
      <diagonal/>
    </border>
    <border>
      <left/>
      <right style="thick">
        <color rgb="FFC00000"/>
      </right>
      <top style="thick">
        <color rgb="FFC00000"/>
      </top>
      <bottom/>
      <diagonal/>
    </border>
    <border>
      <left style="thick">
        <color rgb="FFC00000"/>
      </left>
      <right/>
      <top/>
      <bottom style="thick">
        <color rgb="FFC00000"/>
      </bottom>
      <diagonal/>
    </border>
    <border>
      <left/>
      <right/>
      <top/>
      <bottom style="thick">
        <color rgb="FFC00000"/>
      </bottom>
      <diagonal/>
    </border>
    <border>
      <left style="thin">
        <color rgb="FFC00000"/>
      </left>
      <right style="thin">
        <color rgb="FFC00000"/>
      </right>
      <top style="thin">
        <color rgb="FFC00000"/>
      </top>
      <bottom style="thick">
        <color rgb="FFC00000"/>
      </bottom>
      <diagonal/>
    </border>
    <border>
      <left style="thin">
        <color rgb="FFC00000"/>
      </left>
      <right/>
      <top style="thin">
        <color rgb="FFC00000"/>
      </top>
      <bottom/>
      <diagonal/>
    </border>
    <border>
      <left/>
      <right/>
      <top style="thin">
        <color rgb="FFC00000"/>
      </top>
      <bottom/>
      <diagonal/>
    </border>
    <border>
      <left style="thin">
        <color rgb="FFC00000"/>
      </left>
      <right/>
      <top/>
      <bottom style="thin">
        <color rgb="FFC00000"/>
      </bottom>
      <diagonal/>
    </border>
    <border>
      <left/>
      <right/>
      <top/>
      <bottom style="thin">
        <color rgb="FFC00000"/>
      </bottom>
      <diagonal/>
    </border>
    <border>
      <left/>
      <right style="thin">
        <color rgb="FFC00000"/>
      </right>
      <top style="thin">
        <color rgb="FFC00000"/>
      </top>
      <bottom/>
      <diagonal/>
    </border>
    <border>
      <left style="thin">
        <color rgb="FFC00000"/>
      </left>
      <right/>
      <top/>
      <bottom/>
      <diagonal/>
    </border>
    <border>
      <left/>
      <right style="thin">
        <color rgb="FFC00000"/>
      </right>
      <top/>
      <bottom/>
      <diagonal/>
    </border>
    <border>
      <left/>
      <right style="thin">
        <color rgb="FFC00000"/>
      </right>
      <top/>
      <bottom style="thin">
        <color rgb="FFC00000"/>
      </bottom>
      <diagonal/>
    </border>
    <border>
      <left/>
      <right style="mediumDashed">
        <color rgb="FFC00000"/>
      </right>
      <top style="thick">
        <color rgb="FFC00000"/>
      </top>
      <bottom/>
      <diagonal/>
    </border>
    <border>
      <left/>
      <right style="thin">
        <color rgb="FFC00000"/>
      </right>
      <top style="thin">
        <color rgb="FFC00000"/>
      </top>
      <bottom style="thick">
        <color rgb="FFC00000"/>
      </bottom>
      <diagonal/>
    </border>
    <border>
      <left style="thin">
        <color rgb="FFC00000"/>
      </left>
      <right style="thick">
        <color rgb="FFC00000"/>
      </right>
      <top style="thin">
        <color rgb="FFC00000"/>
      </top>
      <bottom style="thick">
        <color rgb="FFC00000"/>
      </bottom>
      <diagonal/>
    </border>
    <border>
      <left style="thin">
        <color indexed="64"/>
      </left>
      <right/>
      <top/>
      <bottom/>
      <diagonal/>
    </border>
    <border>
      <left style="thin">
        <color indexed="8"/>
      </left>
      <right/>
      <top/>
      <bottom/>
      <diagonal/>
    </border>
    <border>
      <left style="thick">
        <color rgb="FFC00000"/>
      </left>
      <right style="thick">
        <color rgb="FFC00000"/>
      </right>
      <top style="thick">
        <color rgb="FFC00000"/>
      </top>
      <bottom style="thick">
        <color rgb="FFC00000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59" fillId="0" borderId="0" applyFont="0" applyFill="0" applyBorder="0" applyAlignment="0" applyProtection="0"/>
  </cellStyleXfs>
  <cellXfs count="152">
    <xf numFmtId="0" fontId="0" fillId="0" borderId="0" xfId="0"/>
    <xf numFmtId="0" fontId="4" fillId="0" borderId="0" xfId="0" applyFont="1"/>
    <xf numFmtId="0" fontId="5" fillId="0" borderId="0" xfId="0" applyFont="1"/>
    <xf numFmtId="0" fontId="6" fillId="0" borderId="1" xfId="0" applyFont="1" applyBorder="1"/>
    <xf numFmtId="0" fontId="6" fillId="0" borderId="2" xfId="0" applyFont="1" applyBorder="1"/>
    <xf numFmtId="164" fontId="6" fillId="0" borderId="2" xfId="0" applyNumberFormat="1" applyFont="1" applyBorder="1" applyAlignment="1">
      <alignment horizontal="right"/>
    </xf>
    <xf numFmtId="164" fontId="6" fillId="0" borderId="2" xfId="0" applyNumberFormat="1" applyFont="1" applyBorder="1" applyAlignment="1">
      <alignment horizontal="center"/>
    </xf>
    <xf numFmtId="0" fontId="6" fillId="0" borderId="0" xfId="0" applyFont="1"/>
    <xf numFmtId="17" fontId="7" fillId="0" borderId="0" xfId="0" applyNumberFormat="1" applyFont="1" applyAlignment="1">
      <alignment vertical="center"/>
    </xf>
    <xf numFmtId="164" fontId="8" fillId="0" borderId="0" xfId="0" applyNumberFormat="1" applyFont="1" applyAlignment="1">
      <alignment horizontal="right"/>
    </xf>
    <xf numFmtId="164" fontId="8" fillId="0" borderId="0" xfId="0" applyNumberFormat="1" applyFont="1" applyAlignment="1">
      <alignment horizontal="center"/>
    </xf>
    <xf numFmtId="164" fontId="9" fillId="0" borderId="0" xfId="0" applyNumberFormat="1" applyFont="1" applyAlignment="1">
      <alignment horizontal="center"/>
    </xf>
    <xf numFmtId="0" fontId="10" fillId="2" borderId="0" xfId="0" applyFont="1" applyFill="1"/>
    <xf numFmtId="165" fontId="0" fillId="0" borderId="0" xfId="0" applyNumberFormat="1"/>
    <xf numFmtId="164" fontId="10" fillId="2" borderId="0" xfId="0" applyNumberFormat="1" applyFont="1" applyFill="1"/>
    <xf numFmtId="3" fontId="11" fillId="2" borderId="0" xfId="0" applyNumberFormat="1" applyFont="1" applyFill="1"/>
    <xf numFmtId="1" fontId="12" fillId="2" borderId="0" xfId="0" applyNumberFormat="1" applyFont="1" applyFill="1"/>
    <xf numFmtId="0" fontId="13" fillId="2" borderId="0" xfId="0" applyFont="1" applyFill="1" applyAlignment="1">
      <alignment horizontal="right"/>
    </xf>
    <xf numFmtId="164" fontId="13" fillId="2" borderId="0" xfId="0" applyNumberFormat="1" applyFont="1" applyFill="1"/>
    <xf numFmtId="0" fontId="13" fillId="2" borderId="0" xfId="0" applyFont="1" applyFill="1"/>
    <xf numFmtId="9" fontId="13" fillId="2" borderId="0" xfId="3" applyFont="1" applyFill="1"/>
    <xf numFmtId="164" fontId="14" fillId="2" borderId="0" xfId="0" applyNumberFormat="1" applyFont="1" applyFill="1"/>
    <xf numFmtId="1" fontId="15" fillId="2" borderId="0" xfId="0" applyNumberFormat="1" applyFont="1" applyFill="1"/>
    <xf numFmtId="164" fontId="10" fillId="3" borderId="0" xfId="0" applyNumberFormat="1" applyFont="1" applyFill="1"/>
    <xf numFmtId="3" fontId="10" fillId="2" borderId="0" xfId="0" applyNumberFormat="1" applyFont="1" applyFill="1"/>
    <xf numFmtId="3" fontId="11" fillId="4" borderId="0" xfId="0" applyNumberFormat="1" applyFont="1" applyFill="1"/>
    <xf numFmtId="1" fontId="12" fillId="4" borderId="0" xfId="0" applyNumberFormat="1" applyFont="1" applyFill="1"/>
    <xf numFmtId="166" fontId="12" fillId="4" borderId="0" xfId="1" applyNumberFormat="1" applyFont="1" applyFill="1"/>
    <xf numFmtId="165" fontId="10" fillId="2" borderId="0" xfId="3" applyNumberFormat="1" applyFont="1" applyFill="1"/>
    <xf numFmtId="165" fontId="11" fillId="2" borderId="0" xfId="3" applyNumberFormat="1" applyFont="1" applyFill="1"/>
    <xf numFmtId="165" fontId="12" fillId="2" borderId="0" xfId="3" applyNumberFormat="1" applyFont="1" applyFill="1"/>
    <xf numFmtId="164" fontId="5" fillId="0" borderId="0" xfId="0" applyNumberFormat="1" applyFont="1"/>
    <xf numFmtId="164" fontId="16" fillId="0" borderId="0" xfId="0" applyNumberFormat="1" applyFont="1" applyAlignment="1">
      <alignment horizontal="right"/>
    </xf>
    <xf numFmtId="164" fontId="5" fillId="0" borderId="0" xfId="0" applyNumberFormat="1" applyFont="1" applyAlignment="1">
      <alignment horizontal="right"/>
    </xf>
    <xf numFmtId="0" fontId="5" fillId="0" borderId="0" xfId="0" applyFont="1" applyAlignment="1">
      <alignment horizontal="right"/>
    </xf>
    <xf numFmtId="0" fontId="17" fillId="0" borderId="0" xfId="0" applyFont="1"/>
    <xf numFmtId="165" fontId="5" fillId="0" borderId="0" xfId="0" applyNumberFormat="1" applyFont="1"/>
    <xf numFmtId="165" fontId="18" fillId="0" borderId="0" xfId="0" applyNumberFormat="1" applyFont="1"/>
    <xf numFmtId="0" fontId="19" fillId="0" borderId="0" xfId="0" applyFont="1"/>
    <xf numFmtId="165" fontId="20" fillId="0" borderId="0" xfId="0" applyNumberFormat="1" applyFont="1"/>
    <xf numFmtId="165" fontId="3" fillId="5" borderId="3" xfId="0" applyNumberFormat="1" applyFont="1" applyFill="1" applyBorder="1"/>
    <xf numFmtId="165" fontId="0" fillId="5" borderId="4" xfId="0" applyNumberFormat="1" applyFill="1" applyBorder="1"/>
    <xf numFmtId="0" fontId="5" fillId="0" borderId="4" xfId="0" applyFont="1" applyBorder="1"/>
    <xf numFmtId="165" fontId="3" fillId="5" borderId="4" xfId="0" applyNumberFormat="1" applyFont="1" applyFill="1" applyBorder="1"/>
    <xf numFmtId="165" fontId="0" fillId="5" borderId="5" xfId="0" applyNumberFormat="1" applyFill="1" applyBorder="1"/>
    <xf numFmtId="165" fontId="3" fillId="5" borderId="6" xfId="0" applyNumberFormat="1" applyFont="1" applyFill="1" applyBorder="1"/>
    <xf numFmtId="165" fontId="0" fillId="5" borderId="7" xfId="0" applyNumberFormat="1" applyFill="1" applyBorder="1"/>
    <xf numFmtId="165" fontId="21" fillId="0" borderId="8" xfId="0" applyNumberFormat="1" applyFont="1" applyBorder="1"/>
    <xf numFmtId="165" fontId="3" fillId="5" borderId="7" xfId="0" applyNumberFormat="1" applyFont="1" applyFill="1" applyBorder="1"/>
    <xf numFmtId="0" fontId="22" fillId="0" borderId="0" xfId="0" applyFont="1"/>
    <xf numFmtId="165" fontId="23" fillId="0" borderId="0" xfId="0" applyNumberFormat="1" applyFont="1"/>
    <xf numFmtId="0" fontId="2" fillId="0" borderId="0" xfId="0" applyFont="1"/>
    <xf numFmtId="9" fontId="18" fillId="0" borderId="0" xfId="0" applyNumberFormat="1" applyFont="1"/>
    <xf numFmtId="165" fontId="3" fillId="0" borderId="0" xfId="0" applyNumberFormat="1" applyFont="1"/>
    <xf numFmtId="0" fontId="0" fillId="4" borderId="0" xfId="0" applyFill="1"/>
    <xf numFmtId="0" fontId="5" fillId="4" borderId="0" xfId="0" applyFont="1" applyFill="1"/>
    <xf numFmtId="165" fontId="5" fillId="4" borderId="0" xfId="0" applyNumberFormat="1" applyFont="1" applyFill="1"/>
    <xf numFmtId="0" fontId="24" fillId="0" borderId="0" xfId="0" applyFont="1"/>
    <xf numFmtId="0" fontId="5" fillId="0" borderId="10" xfId="0" applyFont="1" applyBorder="1"/>
    <xf numFmtId="0" fontId="5" fillId="0" borderId="11" xfId="0" applyFont="1" applyBorder="1"/>
    <xf numFmtId="0" fontId="5" fillId="0" borderId="12" xfId="0" applyFont="1" applyBorder="1"/>
    <xf numFmtId="1" fontId="25" fillId="0" borderId="0" xfId="0" applyNumberFormat="1" applyFont="1"/>
    <xf numFmtId="167" fontId="26" fillId="0" borderId="0" xfId="2" applyNumberFormat="1" applyFont="1"/>
    <xf numFmtId="165" fontId="27" fillId="4" borderId="0" xfId="0" applyNumberFormat="1" applyFont="1" applyFill="1"/>
    <xf numFmtId="165" fontId="16" fillId="0" borderId="0" xfId="0" applyNumberFormat="1" applyFont="1"/>
    <xf numFmtId="165" fontId="20" fillId="5" borderId="3" xfId="0" applyNumberFormat="1" applyFont="1" applyFill="1" applyBorder="1"/>
    <xf numFmtId="165" fontId="20" fillId="5" borderId="4" xfId="0" applyNumberFormat="1" applyFont="1" applyFill="1" applyBorder="1"/>
    <xf numFmtId="165" fontId="20" fillId="5" borderId="6" xfId="0" applyNumberFormat="1" applyFont="1" applyFill="1" applyBorder="1"/>
    <xf numFmtId="165" fontId="20" fillId="5" borderId="7" xfId="0" applyNumberFormat="1" applyFont="1" applyFill="1" applyBorder="1"/>
    <xf numFmtId="9" fontId="5" fillId="0" borderId="0" xfId="0" applyNumberFormat="1" applyFont="1"/>
    <xf numFmtId="0" fontId="26" fillId="0" borderId="0" xfId="0" applyFont="1"/>
    <xf numFmtId="0" fontId="28" fillId="0" borderId="0" xfId="0" applyFont="1"/>
    <xf numFmtId="0" fontId="27" fillId="0" borderId="0" xfId="0" applyFont="1"/>
    <xf numFmtId="37" fontId="26" fillId="0" borderId="0" xfId="2" applyNumberFormat="1" applyFont="1"/>
    <xf numFmtId="0" fontId="29" fillId="0" borderId="13" xfId="0" applyFont="1" applyBorder="1" applyAlignment="1">
      <alignment horizontal="right"/>
    </xf>
    <xf numFmtId="0" fontId="5" fillId="0" borderId="15" xfId="0" applyFont="1" applyBorder="1"/>
    <xf numFmtId="0" fontId="5" fillId="0" borderId="16" xfId="0" applyFont="1" applyBorder="1"/>
    <xf numFmtId="0" fontId="15" fillId="0" borderId="0" xfId="0" applyFont="1"/>
    <xf numFmtId="165" fontId="30" fillId="0" borderId="0" xfId="0" applyNumberFormat="1" applyFont="1"/>
    <xf numFmtId="9" fontId="30" fillId="0" borderId="0" xfId="0" applyNumberFormat="1" applyFont="1"/>
    <xf numFmtId="165" fontId="0" fillId="5" borderId="17" xfId="0" applyNumberFormat="1" applyFill="1" applyBorder="1"/>
    <xf numFmtId="165" fontId="21" fillId="0" borderId="4" xfId="0" applyNumberFormat="1" applyFont="1" applyBorder="1"/>
    <xf numFmtId="165" fontId="33" fillId="0" borderId="0" xfId="0" applyNumberFormat="1" applyFont="1"/>
    <xf numFmtId="0" fontId="24" fillId="0" borderId="0" xfId="0" applyFont="1" applyAlignment="1">
      <alignment horizontal="right"/>
    </xf>
    <xf numFmtId="165" fontId="19" fillId="0" borderId="0" xfId="0" applyNumberFormat="1" applyFont="1"/>
    <xf numFmtId="0" fontId="5" fillId="0" borderId="5" xfId="0" applyFont="1" applyBorder="1"/>
    <xf numFmtId="165" fontId="21" fillId="0" borderId="18" xfId="0" applyNumberFormat="1" applyFont="1" applyBorder="1"/>
    <xf numFmtId="165" fontId="21" fillId="0" borderId="19" xfId="0" applyNumberFormat="1" applyFont="1" applyBorder="1"/>
    <xf numFmtId="165" fontId="0" fillId="0" borderId="5" xfId="0" applyNumberFormat="1" applyBorder="1"/>
    <xf numFmtId="0" fontId="33" fillId="0" borderId="0" xfId="0" applyFont="1"/>
    <xf numFmtId="0" fontId="35" fillId="6" borderId="20" xfId="0" applyFont="1" applyFill="1" applyBorder="1"/>
    <xf numFmtId="0" fontId="35" fillId="6" borderId="20" xfId="0" applyFont="1" applyFill="1" applyBorder="1" applyAlignment="1">
      <alignment horizontal="left" indent="3"/>
    </xf>
    <xf numFmtId="166" fontId="36" fillId="7" borderId="21" xfId="1" applyNumberFormat="1" applyFont="1" applyFill="1" applyBorder="1"/>
    <xf numFmtId="166" fontId="0" fillId="0" borderId="0" xfId="1" applyNumberFormat="1" applyFont="1"/>
    <xf numFmtId="9" fontId="0" fillId="0" borderId="0" xfId="3" applyFont="1"/>
    <xf numFmtId="1" fontId="0" fillId="0" borderId="0" xfId="0" applyNumberFormat="1" applyAlignment="1">
      <alignment horizontal="right"/>
    </xf>
    <xf numFmtId="0" fontId="35" fillId="0" borderId="0" xfId="0" applyFont="1"/>
    <xf numFmtId="41" fontId="0" fillId="0" borderId="0" xfId="0" applyNumberFormat="1" applyAlignment="1">
      <alignment horizontal="left"/>
    </xf>
    <xf numFmtId="41" fontId="2" fillId="0" borderId="0" xfId="0" applyNumberFormat="1" applyFont="1" applyAlignment="1">
      <alignment horizontal="right"/>
    </xf>
    <xf numFmtId="17" fontId="37" fillId="0" borderId="0" xfId="0" applyNumberFormat="1" applyFont="1"/>
    <xf numFmtId="0" fontId="0" fillId="0" borderId="0" xfId="0" applyAlignment="1">
      <alignment horizontal="right"/>
    </xf>
    <xf numFmtId="165" fontId="0" fillId="0" borderId="0" xfId="3" applyNumberFormat="1" applyFont="1" applyAlignment="1">
      <alignment horizontal="right"/>
    </xf>
    <xf numFmtId="165" fontId="0" fillId="0" borderId="0" xfId="3" applyNumberFormat="1" applyFont="1"/>
    <xf numFmtId="0" fontId="38" fillId="0" borderId="0" xfId="0" applyFont="1"/>
    <xf numFmtId="17" fontId="39" fillId="0" borderId="0" xfId="0" applyNumberFormat="1" applyFont="1"/>
    <xf numFmtId="0" fontId="40" fillId="0" borderId="0" xfId="0" applyFont="1"/>
    <xf numFmtId="0" fontId="41" fillId="0" borderId="0" xfId="0" applyFont="1"/>
    <xf numFmtId="0" fontId="3" fillId="0" borderId="0" xfId="0" applyFont="1"/>
    <xf numFmtId="0" fontId="20" fillId="0" borderId="0" xfId="0" applyFont="1"/>
    <xf numFmtId="165" fontId="3" fillId="5" borderId="22" xfId="0" applyNumberFormat="1" applyFont="1" applyFill="1" applyBorder="1"/>
    <xf numFmtId="0" fontId="42" fillId="0" borderId="0" xfId="0" applyFont="1"/>
    <xf numFmtId="0" fontId="43" fillId="0" borderId="0" xfId="0" applyFont="1"/>
    <xf numFmtId="0" fontId="44" fillId="0" borderId="0" xfId="0" applyFont="1"/>
    <xf numFmtId="0" fontId="45" fillId="0" borderId="0" xfId="0" applyFont="1"/>
    <xf numFmtId="17" fontId="46" fillId="0" borderId="0" xfId="0" applyNumberFormat="1" applyFont="1"/>
    <xf numFmtId="0" fontId="47" fillId="0" borderId="0" xfId="0" applyFont="1"/>
    <xf numFmtId="0" fontId="47" fillId="0" borderId="0" xfId="0" applyFont="1" applyAlignment="1">
      <alignment horizontal="right"/>
    </xf>
    <xf numFmtId="165" fontId="47" fillId="0" borderId="0" xfId="3" applyNumberFormat="1" applyFont="1"/>
    <xf numFmtId="165" fontId="47" fillId="0" borderId="0" xfId="3" applyNumberFormat="1" applyFont="1" applyAlignment="1">
      <alignment horizontal="right"/>
    </xf>
    <xf numFmtId="0" fontId="48" fillId="0" borderId="0" xfId="0" applyFont="1"/>
    <xf numFmtId="0" fontId="50" fillId="0" borderId="0" xfId="0" applyFont="1" applyAlignment="1">
      <alignment horizontal="right"/>
    </xf>
    <xf numFmtId="0" fontId="51" fillId="0" borderId="0" xfId="0" applyFont="1"/>
    <xf numFmtId="37" fontId="5" fillId="0" borderId="0" xfId="1" applyNumberFormat="1" applyFont="1" applyAlignment="1">
      <alignment horizontal="right"/>
    </xf>
    <xf numFmtId="0" fontId="6" fillId="0" borderId="0" xfId="0" applyFont="1" applyAlignment="1">
      <alignment horizontal="right"/>
    </xf>
    <xf numFmtId="0" fontId="52" fillId="0" borderId="0" xfId="0" applyFont="1"/>
    <xf numFmtId="37" fontId="49" fillId="0" borderId="0" xfId="1" applyNumberFormat="1" applyFont="1" applyAlignment="1">
      <alignment horizontal="right"/>
    </xf>
    <xf numFmtId="9" fontId="49" fillId="0" borderId="0" xfId="3" applyFont="1"/>
    <xf numFmtId="0" fontId="53" fillId="0" borderId="0" xfId="0" applyFont="1"/>
    <xf numFmtId="0" fontId="54" fillId="0" borderId="0" xfId="0" applyFont="1"/>
    <xf numFmtId="0" fontId="56" fillId="0" borderId="0" xfId="0" applyFont="1" applyAlignment="1">
      <alignment horizontal="left"/>
    </xf>
    <xf numFmtId="41" fontId="57" fillId="0" borderId="0" xfId="0" applyNumberFormat="1" applyFont="1" applyAlignment="1">
      <alignment horizontal="right"/>
    </xf>
    <xf numFmtId="168" fontId="35" fillId="0" borderId="0" xfId="1" applyNumberFormat="1" applyFont="1" applyFill="1" applyBorder="1" applyAlignment="1">
      <alignment horizontal="right"/>
    </xf>
    <xf numFmtId="169" fontId="55" fillId="0" borderId="0" xfId="0" applyNumberFormat="1" applyFont="1" applyAlignment="1">
      <alignment horizontal="right"/>
    </xf>
    <xf numFmtId="168" fontId="35" fillId="0" borderId="0" xfId="0" applyNumberFormat="1" applyFont="1" applyAlignment="1">
      <alignment horizontal="right"/>
    </xf>
    <xf numFmtId="41" fontId="5" fillId="0" borderId="15" xfId="0" applyNumberFormat="1" applyFont="1" applyBorder="1"/>
    <xf numFmtId="0" fontId="58" fillId="0" borderId="0" xfId="0" applyFont="1" applyAlignment="1">
      <alignment horizontal="left"/>
    </xf>
    <xf numFmtId="41" fontId="5" fillId="0" borderId="16" xfId="0" applyNumberFormat="1" applyFont="1" applyBorder="1"/>
    <xf numFmtId="0" fontId="18" fillId="0" borderId="14" xfId="0" applyFont="1" applyBorder="1"/>
    <xf numFmtId="0" fontId="18" fillId="0" borderId="9" xfId="0" applyFont="1" applyBorder="1" applyAlignment="1">
      <alignment horizontal="left"/>
    </xf>
    <xf numFmtId="165" fontId="5" fillId="0" borderId="0" xfId="3" applyNumberFormat="1" applyFont="1"/>
    <xf numFmtId="0" fontId="38" fillId="0" borderId="0" xfId="0" applyFont="1" applyAlignment="1">
      <alignment vertical="center"/>
    </xf>
    <xf numFmtId="0" fontId="0" fillId="0" borderId="0" xfId="0" applyAlignment="1">
      <alignment vertical="center"/>
    </xf>
    <xf numFmtId="0" fontId="5" fillId="0" borderId="0" xfId="0" applyFont="1" applyAlignment="1">
      <alignment vertical="center"/>
    </xf>
    <xf numFmtId="0" fontId="40" fillId="0" borderId="0" xfId="0" applyFont="1" applyAlignment="1">
      <alignment vertical="center"/>
    </xf>
    <xf numFmtId="170" fontId="60" fillId="8" borderId="0" xfId="4" quotePrefix="1" applyNumberFormat="1" applyFont="1" applyFill="1" applyBorder="1" applyAlignment="1">
      <alignment horizontal="right"/>
    </xf>
    <xf numFmtId="165" fontId="60" fillId="8" borderId="0" xfId="3" quotePrefix="1" applyNumberFormat="1" applyFont="1" applyFill="1" applyBorder="1" applyAlignment="1">
      <alignment horizontal="right"/>
    </xf>
    <xf numFmtId="171" fontId="60" fillId="8" borderId="0" xfId="4" quotePrefix="1" applyNumberFormat="1" applyFont="1" applyFill="1" applyBorder="1" applyAlignment="1">
      <alignment horizontal="right"/>
    </xf>
    <xf numFmtId="165" fontId="61" fillId="8" borderId="0" xfId="3" quotePrefix="1" applyNumberFormat="1" applyFont="1" applyFill="1" applyBorder="1" applyAlignment="1">
      <alignment horizontal="right"/>
    </xf>
    <xf numFmtId="9" fontId="60" fillId="8" borderId="0" xfId="3" quotePrefix="1" applyFont="1" applyFill="1" applyBorder="1" applyAlignment="1">
      <alignment horizontal="right"/>
    </xf>
    <xf numFmtId="172" fontId="60" fillId="8" borderId="0" xfId="4" quotePrefix="1" applyNumberFormat="1" applyFont="1" applyFill="1" applyBorder="1" applyAlignment="1">
      <alignment horizontal="right"/>
    </xf>
    <xf numFmtId="165" fontId="22" fillId="0" borderId="0" xfId="3" applyNumberFormat="1" applyFont="1"/>
    <xf numFmtId="165" fontId="3" fillId="0" borderId="0" xfId="3" applyNumberFormat="1" applyFont="1"/>
  </cellXfs>
  <cellStyles count="5">
    <cellStyle name="Comma" xfId="1" builtinId="3"/>
    <cellStyle name="Comma [0]" xfId="2" builtinId="6"/>
    <cellStyle name="Comma 2 11" xfId="4" xr:uid="{6FA888E8-144B-4A18-9652-B1892B8471F5}"/>
    <cellStyle name="Normal" xfId="0" builtinId="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69A430-AD59-4202-B6E5-7E1D80E328BC}">
  <sheetPr>
    <pageSetUpPr fitToPage="1"/>
  </sheetPr>
  <dimension ref="A2:BH111"/>
  <sheetViews>
    <sheetView topLeftCell="A3" zoomScale="90" zoomScaleNormal="90" workbookViewId="0">
      <pane xSplit="6210" ySplit="2220" topLeftCell="AL8" activePane="bottomRight"/>
      <selection pane="topRight" activeCell="AL13" sqref="AL13"/>
      <selection pane="bottomLeft" activeCell="A11" sqref="A11:XFD11"/>
      <selection pane="bottomRight" activeCell="AN11" sqref="AN11"/>
    </sheetView>
  </sheetViews>
  <sheetFormatPr defaultRowHeight="14.25" outlineLevelCol="1"/>
  <cols>
    <col min="1" max="1" width="11.625" customWidth="1"/>
    <col min="2" max="2" width="43.25" customWidth="1"/>
    <col min="3" max="26" width="8.70703125" customWidth="1" outlineLevel="1"/>
    <col min="27" max="29" width="10.625" customWidth="1"/>
    <col min="30" max="30" width="9.5390625" customWidth="1"/>
    <col min="31" max="31" width="10.625" customWidth="1"/>
    <col min="32" max="32" width="9.9140625" customWidth="1"/>
    <col min="33" max="35" width="8.625" style="2" customWidth="1"/>
    <col min="36" max="53" width="9.625" style="2" customWidth="1"/>
    <col min="54" max="54" width="9.1640625" bestFit="1" customWidth="1"/>
  </cols>
  <sheetData>
    <row r="2" spans="2:55">
      <c r="B2" t="s">
        <v>0</v>
      </c>
    </row>
    <row r="5" spans="2:55" s="7" customFormat="1" ht="11.5">
      <c r="B5" s="3" t="s">
        <v>1</v>
      </c>
      <c r="C5" s="4"/>
      <c r="D5" s="4"/>
      <c r="E5" s="5" t="s">
        <v>2</v>
      </c>
      <c r="F5" s="5" t="s">
        <v>3</v>
      </c>
      <c r="G5" s="5" t="s">
        <v>3</v>
      </c>
      <c r="H5" s="5" t="s">
        <v>3</v>
      </c>
      <c r="I5" s="5" t="s">
        <v>4</v>
      </c>
      <c r="J5" s="5" t="s">
        <v>4</v>
      </c>
      <c r="K5" s="5" t="s">
        <v>4</v>
      </c>
      <c r="L5" s="5" t="s">
        <v>5</v>
      </c>
      <c r="M5" s="5" t="s">
        <v>5</v>
      </c>
      <c r="N5" s="5" t="s">
        <v>5</v>
      </c>
      <c r="O5" s="5" t="s">
        <v>6</v>
      </c>
      <c r="P5" s="5" t="s">
        <v>6</v>
      </c>
      <c r="Q5" s="6" t="s">
        <v>6</v>
      </c>
      <c r="R5" s="5" t="s">
        <v>7</v>
      </c>
      <c r="S5" s="5" t="s">
        <v>7</v>
      </c>
      <c r="T5" s="6" t="s">
        <v>7</v>
      </c>
      <c r="U5" s="6" t="s">
        <v>8</v>
      </c>
      <c r="V5" s="6" t="s">
        <v>8</v>
      </c>
      <c r="W5" s="6" t="s">
        <v>8</v>
      </c>
      <c r="X5" s="6" t="s">
        <v>9</v>
      </c>
      <c r="Y5" s="6" t="s">
        <v>9</v>
      </c>
      <c r="Z5" s="6" t="s">
        <v>9</v>
      </c>
      <c r="AA5" s="6" t="s">
        <v>10</v>
      </c>
      <c r="AB5" s="6" t="s">
        <v>10</v>
      </c>
      <c r="AC5" s="6" t="s">
        <v>10</v>
      </c>
      <c r="AD5" s="6" t="s">
        <v>11</v>
      </c>
      <c r="AE5" s="6" t="s">
        <v>11</v>
      </c>
      <c r="AF5" s="6" t="s">
        <v>11</v>
      </c>
      <c r="AG5" s="6" t="s">
        <v>12</v>
      </c>
      <c r="AH5" s="6" t="s">
        <v>12</v>
      </c>
      <c r="AI5" s="6" t="s">
        <v>12</v>
      </c>
      <c r="AJ5" s="6" t="s">
        <v>13</v>
      </c>
      <c r="AK5" s="6" t="s">
        <v>13</v>
      </c>
      <c r="AL5" s="6" t="s">
        <v>13</v>
      </c>
      <c r="AM5" s="6" t="s">
        <v>14</v>
      </c>
      <c r="AN5" s="6" t="s">
        <v>14</v>
      </c>
      <c r="AO5" s="6" t="s">
        <v>14</v>
      </c>
      <c r="AP5" s="6" t="s">
        <v>15</v>
      </c>
      <c r="AQ5" s="6" t="s">
        <v>15</v>
      </c>
      <c r="AR5" s="6" t="s">
        <v>15</v>
      </c>
      <c r="AS5" s="6" t="s">
        <v>16</v>
      </c>
      <c r="AT5" s="6" t="s">
        <v>16</v>
      </c>
      <c r="AU5" s="6" t="s">
        <v>16</v>
      </c>
      <c r="AV5" s="6" t="s">
        <v>17</v>
      </c>
      <c r="AW5" s="6" t="s">
        <v>17</v>
      </c>
      <c r="AX5" s="6" t="s">
        <v>17</v>
      </c>
      <c r="AY5" s="6" t="s">
        <v>18</v>
      </c>
      <c r="AZ5" s="6" t="s">
        <v>18</v>
      </c>
      <c r="BA5" s="6" t="s">
        <v>18</v>
      </c>
    </row>
    <row r="6" spans="2:55" ht="15.5">
      <c r="B6" s="8" t="s">
        <v>108</v>
      </c>
      <c r="C6" s="9" t="s">
        <v>19</v>
      </c>
      <c r="D6" s="9" t="s">
        <v>20</v>
      </c>
      <c r="E6" s="9" t="s">
        <v>21</v>
      </c>
      <c r="F6" s="9" t="s">
        <v>19</v>
      </c>
      <c r="G6" s="9" t="s">
        <v>20</v>
      </c>
      <c r="H6" s="9" t="s">
        <v>22</v>
      </c>
      <c r="I6" s="9" t="s">
        <v>23</v>
      </c>
      <c r="J6" s="9" t="s">
        <v>24</v>
      </c>
      <c r="K6" s="9" t="s">
        <v>22</v>
      </c>
      <c r="L6" s="9" t="s">
        <v>19</v>
      </c>
      <c r="M6" s="9" t="s">
        <v>20</v>
      </c>
      <c r="N6" s="9" t="s">
        <v>21</v>
      </c>
      <c r="O6" s="9" t="s">
        <v>19</v>
      </c>
      <c r="P6" s="9" t="s">
        <v>20</v>
      </c>
      <c r="Q6" s="10" t="s">
        <v>21</v>
      </c>
      <c r="R6" s="9" t="s">
        <v>19</v>
      </c>
      <c r="S6" s="9" t="s">
        <v>20</v>
      </c>
      <c r="T6" s="10" t="s">
        <v>21</v>
      </c>
      <c r="U6" s="9" t="s">
        <v>19</v>
      </c>
      <c r="V6" s="9" t="s">
        <v>20</v>
      </c>
      <c r="W6" s="10" t="s">
        <v>21</v>
      </c>
      <c r="X6" s="10" t="s">
        <v>19</v>
      </c>
      <c r="Y6" s="10" t="s">
        <v>20</v>
      </c>
      <c r="Z6" s="10" t="s">
        <v>21</v>
      </c>
      <c r="AA6" s="10" t="s">
        <v>19</v>
      </c>
      <c r="AB6" s="10" t="s">
        <v>20</v>
      </c>
      <c r="AC6" s="10" t="s">
        <v>21</v>
      </c>
      <c r="AD6" s="10" t="s">
        <v>19</v>
      </c>
      <c r="AE6" s="10" t="s">
        <v>20</v>
      </c>
      <c r="AF6" s="10" t="s">
        <v>21</v>
      </c>
      <c r="AG6" s="11" t="s">
        <v>19</v>
      </c>
      <c r="AH6" s="11" t="s">
        <v>20</v>
      </c>
      <c r="AI6" s="11" t="s">
        <v>21</v>
      </c>
      <c r="AJ6" s="11" t="s">
        <v>19</v>
      </c>
      <c r="AK6" s="11" t="s">
        <v>20</v>
      </c>
      <c r="AL6" s="11" t="s">
        <v>21</v>
      </c>
      <c r="AM6" s="11" t="s">
        <v>19</v>
      </c>
      <c r="AN6" s="11" t="s">
        <v>20</v>
      </c>
      <c r="AO6" s="11" t="s">
        <v>21</v>
      </c>
      <c r="AP6" s="11" t="s">
        <v>19</v>
      </c>
      <c r="AQ6" s="11" t="s">
        <v>20</v>
      </c>
      <c r="AR6" s="11" t="s">
        <v>21</v>
      </c>
      <c r="AS6" s="11" t="s">
        <v>19</v>
      </c>
      <c r="AT6" s="11" t="s">
        <v>20</v>
      </c>
      <c r="AU6" s="11" t="s">
        <v>21</v>
      </c>
      <c r="AV6" s="11" t="s">
        <v>19</v>
      </c>
      <c r="AW6" s="11" t="s">
        <v>20</v>
      </c>
      <c r="AX6" s="11" t="s">
        <v>21</v>
      </c>
      <c r="AY6" s="11" t="s">
        <v>19</v>
      </c>
      <c r="AZ6" s="11" t="s">
        <v>20</v>
      </c>
      <c r="BA6" s="11" t="s">
        <v>21</v>
      </c>
      <c r="BC6" s="11"/>
    </row>
    <row r="7" spans="2:55" ht="15.75">
      <c r="B7" s="12" t="s">
        <v>31</v>
      </c>
      <c r="C7" s="14">
        <v>408.96122529907126</v>
      </c>
      <c r="D7" s="14">
        <v>455.51260626260114</v>
      </c>
      <c r="E7" s="14">
        <v>864.47383156167234</v>
      </c>
      <c r="F7" s="14">
        <v>448.59583340744371</v>
      </c>
      <c r="G7" s="14">
        <v>554.18346017255112</v>
      </c>
      <c r="H7" s="14">
        <v>1002.7792935799948</v>
      </c>
      <c r="I7" s="14">
        <v>541.30664534152311</v>
      </c>
      <c r="J7" s="14">
        <v>626.65685231089913</v>
      </c>
      <c r="K7" s="14">
        <v>1167.9634976524221</v>
      </c>
      <c r="L7" s="14">
        <v>599.38320158507076</v>
      </c>
      <c r="M7" s="14">
        <v>686.1966439603666</v>
      </c>
      <c r="N7" s="14">
        <v>1285.5798455454374</v>
      </c>
      <c r="O7" s="14">
        <v>690.94483308776034</v>
      </c>
      <c r="P7" s="14">
        <v>770.55892283457592</v>
      </c>
      <c r="Q7" s="14">
        <v>1461.5037559223363</v>
      </c>
      <c r="R7" s="14">
        <v>805.87437132404148</v>
      </c>
      <c r="S7" s="14">
        <v>864.40294225748414</v>
      </c>
      <c r="T7" s="14">
        <v>1670.2773135815255</v>
      </c>
      <c r="U7" s="14">
        <v>907.27158025004235</v>
      </c>
      <c r="V7" s="14">
        <v>848.13167894538265</v>
      </c>
      <c r="W7" s="14">
        <v>1755.4032591954251</v>
      </c>
      <c r="X7" s="14">
        <v>971.59939653109495</v>
      </c>
      <c r="Y7" s="14">
        <v>1035.5036327559105</v>
      </c>
      <c r="Z7" s="14">
        <v>2007.1030292870055</v>
      </c>
      <c r="AA7" s="14">
        <v>1051.1631436074811</v>
      </c>
      <c r="AB7" s="14">
        <v>1226.8355023023412</v>
      </c>
      <c r="AC7" s="14">
        <v>2277.9986459098222</v>
      </c>
      <c r="AD7" s="14">
        <v>1257.2104364144536</v>
      </c>
      <c r="AE7" s="14">
        <v>1431.0495012969325</v>
      </c>
      <c r="AF7" s="14">
        <v>2688.2599377113861</v>
      </c>
      <c r="AG7" s="15">
        <v>1469.1922849323196</v>
      </c>
      <c r="AH7" s="15">
        <v>1584.144667207092</v>
      </c>
      <c r="AI7" s="15">
        <v>3053.3369521394116</v>
      </c>
      <c r="AJ7" s="16">
        <v>1783.2662538365616</v>
      </c>
      <c r="AK7" s="16">
        <v>1776.112347501851</v>
      </c>
      <c r="AL7" s="16">
        <v>3559.3786013384124</v>
      </c>
      <c r="AM7" s="16">
        <v>2074.183696875331</v>
      </c>
      <c r="AN7" s="16">
        <v>2267.7232922205203</v>
      </c>
      <c r="AO7" s="16">
        <v>4341.9069890958508</v>
      </c>
      <c r="AP7" s="16">
        <v>2505.4577025662438</v>
      </c>
      <c r="AQ7" s="16">
        <v>2653.9293418755196</v>
      </c>
      <c r="AR7" s="16">
        <v>5159.3870444417635</v>
      </c>
      <c r="AS7" s="16">
        <v>2886.3884475338155</v>
      </c>
      <c r="AT7" s="16">
        <v>3065.8606876926551</v>
      </c>
      <c r="AU7" s="16">
        <v>5952.2491352264706</v>
      </c>
      <c r="AV7" s="16">
        <v>3285.743065474308</v>
      </c>
      <c r="AW7" s="16">
        <v>3489.54905430803</v>
      </c>
      <c r="AX7" s="16">
        <v>6775.292119782338</v>
      </c>
      <c r="AY7" s="16">
        <v>3730.1403277270542</v>
      </c>
      <c r="AZ7" s="16">
        <v>3960.8633028526779</v>
      </c>
      <c r="BA7" s="16">
        <v>7691.0036305797321</v>
      </c>
    </row>
    <row r="8" spans="2:55" ht="15.75">
      <c r="B8" s="12" t="s">
        <v>32</v>
      </c>
      <c r="C8" s="14">
        <v>647.78110126558602</v>
      </c>
      <c r="D8" s="14">
        <v>769.20021048579292</v>
      </c>
      <c r="E8" s="14">
        <v>1416.9813117513791</v>
      </c>
      <c r="F8" s="14">
        <v>699.91168160546022</v>
      </c>
      <c r="G8" s="14">
        <v>784.2894369119781</v>
      </c>
      <c r="H8" s="14">
        <v>1484.2011185174383</v>
      </c>
      <c r="I8" s="14">
        <v>774.23100290804916</v>
      </c>
      <c r="J8" s="14">
        <v>824.34013653765351</v>
      </c>
      <c r="K8" s="14">
        <v>1598.5711394457026</v>
      </c>
      <c r="L8" s="14">
        <v>881.66307670777906</v>
      </c>
      <c r="M8" s="14">
        <v>866.56550559146876</v>
      </c>
      <c r="N8" s="14">
        <v>1748.2285822992478</v>
      </c>
      <c r="O8" s="14">
        <v>916.79628874819002</v>
      </c>
      <c r="P8" s="14">
        <v>984.61015095281005</v>
      </c>
      <c r="Q8" s="14">
        <v>1901.4064397010002</v>
      </c>
      <c r="R8" s="14">
        <v>988.5211587925736</v>
      </c>
      <c r="S8" s="14">
        <v>1292.6815515806561</v>
      </c>
      <c r="T8" s="14">
        <v>2281.2027103732298</v>
      </c>
      <c r="U8" s="14">
        <v>1240.3291454495475</v>
      </c>
      <c r="V8" s="14">
        <v>1276.1650151718191</v>
      </c>
      <c r="W8" s="14">
        <v>2516.4941606213665</v>
      </c>
      <c r="X8" s="14">
        <v>1445.4338677308456</v>
      </c>
      <c r="Y8" s="14">
        <v>1386.0119024364635</v>
      </c>
      <c r="Z8" s="14">
        <v>2831.4457701673091</v>
      </c>
      <c r="AA8" s="14">
        <v>1576.9416250105817</v>
      </c>
      <c r="AB8" s="14">
        <v>1824.9629640029807</v>
      </c>
      <c r="AC8" s="14">
        <v>3401.9045890135621</v>
      </c>
      <c r="AD8" s="14">
        <v>1706.2754706069873</v>
      </c>
      <c r="AE8" s="14">
        <v>2020.3625759367721</v>
      </c>
      <c r="AF8" s="14">
        <v>3726.6380465437596</v>
      </c>
      <c r="AG8" s="15">
        <v>1829.0395976632849</v>
      </c>
      <c r="AH8" s="15">
        <v>2324.8211175256038</v>
      </c>
      <c r="AI8" s="15">
        <v>4153.8607151888882</v>
      </c>
      <c r="AJ8" s="16">
        <v>2224.8359366580507</v>
      </c>
      <c r="AK8" s="16">
        <v>2089.1201441111698</v>
      </c>
      <c r="AL8" s="16">
        <v>4313.9560807692205</v>
      </c>
      <c r="AM8" s="16">
        <v>2394.8809016309069</v>
      </c>
      <c r="AN8" s="16">
        <v>2430.669611028794</v>
      </c>
      <c r="AO8" s="16">
        <v>4825.5505126597009</v>
      </c>
      <c r="AP8" s="16">
        <v>2779.6625280542721</v>
      </c>
      <c r="AQ8" s="16">
        <v>2649.2808258529108</v>
      </c>
      <c r="AR8" s="16">
        <v>5428.9433539071833</v>
      </c>
      <c r="AS8" s="16">
        <v>3231.5116319404151</v>
      </c>
      <c r="AT8" s="16">
        <v>3068.6580314695098</v>
      </c>
      <c r="AU8" s="16">
        <v>6300.1696634099244</v>
      </c>
      <c r="AV8" s="16">
        <v>3900.2864837845846</v>
      </c>
      <c r="AW8" s="16">
        <v>3345.2882220039583</v>
      </c>
      <c r="AX8" s="16">
        <v>7245.5747057885428</v>
      </c>
      <c r="AY8" s="16">
        <v>4198.6574576460389</v>
      </c>
      <c r="AZ8" s="16">
        <v>4073.8362086587158</v>
      </c>
      <c r="BA8" s="16">
        <v>8272.4936663047538</v>
      </c>
    </row>
    <row r="9" spans="2:55" ht="15.75">
      <c r="B9" s="12" t="s">
        <v>33</v>
      </c>
      <c r="C9" s="14">
        <v>58.561791359932037</v>
      </c>
      <c r="D9" s="14">
        <v>96.918326545630691</v>
      </c>
      <c r="E9" s="14">
        <v>155.48011790556274</v>
      </c>
      <c r="F9" s="14">
        <v>84.532801711797191</v>
      </c>
      <c r="G9" s="14">
        <v>118.26534418528678</v>
      </c>
      <c r="H9" s="14">
        <v>202.79814589708397</v>
      </c>
      <c r="I9" s="14">
        <v>107.7667541998558</v>
      </c>
      <c r="J9" s="14">
        <v>108.40454882964059</v>
      </c>
      <c r="K9" s="14">
        <v>216.17130302949639</v>
      </c>
      <c r="L9" s="14">
        <v>89.056812893053234</v>
      </c>
      <c r="M9" s="14">
        <v>119.47586113414242</v>
      </c>
      <c r="N9" s="14">
        <v>208.53267402719564</v>
      </c>
      <c r="O9" s="14">
        <v>137.30174408605086</v>
      </c>
      <c r="P9" s="14">
        <v>135.99290314299981</v>
      </c>
      <c r="Q9" s="14">
        <v>273.29464722905067</v>
      </c>
      <c r="R9" s="14">
        <v>158.08262633077041</v>
      </c>
      <c r="S9" s="14">
        <v>172.22497953638825</v>
      </c>
      <c r="T9" s="14">
        <v>330.30760586715866</v>
      </c>
      <c r="U9" s="14">
        <v>267.04058159228782</v>
      </c>
      <c r="V9" s="14">
        <v>254.34229641277159</v>
      </c>
      <c r="W9" s="14">
        <v>521.38287800505941</v>
      </c>
      <c r="X9" s="14">
        <v>308.42441815082589</v>
      </c>
      <c r="Y9" s="14">
        <v>287.22455623547927</v>
      </c>
      <c r="Z9" s="14">
        <v>595.6489743863051</v>
      </c>
      <c r="AA9" s="14">
        <v>373.56828368750172</v>
      </c>
      <c r="AB9" s="14">
        <v>442.53703638055373</v>
      </c>
      <c r="AC9" s="14">
        <v>816.10532006805545</v>
      </c>
      <c r="AD9" s="14">
        <v>409.28810172088833</v>
      </c>
      <c r="AE9" s="14">
        <v>380.62786557518308</v>
      </c>
      <c r="AF9" s="14">
        <v>789.91596729607136</v>
      </c>
      <c r="AG9" s="15">
        <v>403.56360173067225</v>
      </c>
      <c r="AH9" s="15">
        <v>481.91500919731516</v>
      </c>
      <c r="AI9" s="15">
        <v>885.47861092798746</v>
      </c>
      <c r="AJ9" s="16">
        <v>529.45275288775167</v>
      </c>
      <c r="AK9" s="16">
        <v>508.8869360634871</v>
      </c>
      <c r="AL9" s="16">
        <v>1038.3396889512389</v>
      </c>
      <c r="AM9" s="16">
        <v>649.50207907076594</v>
      </c>
      <c r="AN9" s="16">
        <v>991.0078370317899</v>
      </c>
      <c r="AO9" s="16">
        <v>1637.9104207755558</v>
      </c>
      <c r="AP9" s="16">
        <v>847.68237820735339</v>
      </c>
      <c r="AQ9" s="16">
        <v>841.77589163829134</v>
      </c>
      <c r="AR9" s="16">
        <v>1689.4582698456447</v>
      </c>
      <c r="AS9" s="16">
        <v>898.33406379821645</v>
      </c>
      <c r="AT9" s="16">
        <v>735.60157711500483</v>
      </c>
      <c r="AU9" s="16">
        <v>1633.9356409132213</v>
      </c>
      <c r="AV9" s="16">
        <v>633.46511352679795</v>
      </c>
      <c r="AW9" s="16">
        <v>638.09062085996959</v>
      </c>
      <c r="AX9" s="16">
        <v>1271.5557343867677</v>
      </c>
      <c r="AY9" s="16">
        <v>685.75820901271993</v>
      </c>
      <c r="AZ9" s="16">
        <v>646.40801672904183</v>
      </c>
      <c r="BA9" s="16">
        <v>1332.1662257417618</v>
      </c>
    </row>
    <row r="10" spans="2:55" ht="15.75">
      <c r="B10" s="12" t="s">
        <v>60</v>
      </c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>
        <v>40.503386386999999</v>
      </c>
      <c r="AB10" s="14">
        <v>116.42714858000001</v>
      </c>
      <c r="AC10" s="14">
        <v>156.930534967</v>
      </c>
      <c r="AD10" s="14">
        <v>99.679782105969991</v>
      </c>
      <c r="AE10" s="14">
        <v>41.755384522</v>
      </c>
      <c r="AF10" s="14">
        <v>141.43516662796998</v>
      </c>
      <c r="AG10" s="15">
        <v>56.959134437000003</v>
      </c>
      <c r="AH10" s="15">
        <v>54.446709881999993</v>
      </c>
      <c r="AI10" s="15">
        <v>111.405844319</v>
      </c>
      <c r="AJ10" s="16">
        <v>111.316300256657</v>
      </c>
      <c r="AK10" s="16">
        <v>52.640374271249001</v>
      </c>
      <c r="AL10" s="16">
        <v>163.95667452790599</v>
      </c>
      <c r="AM10" s="16">
        <v>180.566687993491</v>
      </c>
      <c r="AN10" s="16">
        <v>414.67834787567</v>
      </c>
      <c r="AO10" s="16">
        <v>592.64554054216092</v>
      </c>
      <c r="AP10" s="16">
        <v>236.27005599256555</v>
      </c>
      <c r="AQ10" s="16">
        <v>270.45253445560297</v>
      </c>
      <c r="AR10" s="16">
        <v>506.72259044816849</v>
      </c>
      <c r="AS10" s="16">
        <v>257.30127345793409</v>
      </c>
      <c r="AT10" s="16">
        <v>152.72424258432258</v>
      </c>
      <c r="AU10" s="16">
        <v>410.02551604225664</v>
      </c>
      <c r="AV10" s="16">
        <v>34.379824197211107</v>
      </c>
      <c r="AW10" s="16">
        <v>35.629279176771213</v>
      </c>
      <c r="AX10" s="16">
        <v>70.009103373982327</v>
      </c>
      <c r="AY10" s="16">
        <v>31.858839296599999</v>
      </c>
      <c r="AZ10" s="16">
        <v>33.921106653345916</v>
      </c>
      <c r="BA10" s="16">
        <v>65.779945949945912</v>
      </c>
    </row>
    <row r="11" spans="2:55" ht="15.75">
      <c r="B11" s="12" t="s">
        <v>62</v>
      </c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>
        <v>11.825852672</v>
      </c>
      <c r="AB11" s="14">
        <v>11.1616635</v>
      </c>
      <c r="AC11" s="14">
        <v>22.987516171999999</v>
      </c>
      <c r="AD11" s="14">
        <v>11.605145685</v>
      </c>
      <c r="AE11" s="14">
        <v>11.426503324</v>
      </c>
      <c r="AF11" s="14">
        <v>23.031649008999999</v>
      </c>
      <c r="AG11" s="15">
        <v>11.573270916</v>
      </c>
      <c r="AH11" s="15">
        <v>8.101674022000001</v>
      </c>
      <c r="AI11" s="15">
        <v>19.674944938000003</v>
      </c>
      <c r="AJ11" s="16">
        <v>8.9500926209999996</v>
      </c>
      <c r="AK11" s="16">
        <v>27.199999999999996</v>
      </c>
      <c r="AL11" s="16">
        <v>36.150092620999999</v>
      </c>
      <c r="AM11" s="16">
        <v>151.71123010600002</v>
      </c>
      <c r="AN11" s="16">
        <v>379.81921542791872</v>
      </c>
      <c r="AO11" s="16">
        <v>531.53044553391874</v>
      </c>
      <c r="AP11" s="16">
        <v>220.01813446993873</v>
      </c>
      <c r="AQ11" s="16">
        <v>254.20061293297613</v>
      </c>
      <c r="AR11" s="16">
        <v>474.21874740291486</v>
      </c>
      <c r="AS11" s="16">
        <v>242.28113296793407</v>
      </c>
      <c r="AT11" s="16">
        <v>137.70410209432259</v>
      </c>
      <c r="AU11" s="16">
        <v>379.98523506225666</v>
      </c>
      <c r="AV11" s="16">
        <v>19.960489326811107</v>
      </c>
      <c r="AW11" s="16">
        <v>20.008333067171215</v>
      </c>
      <c r="AX11" s="16">
        <v>39.968822393982322</v>
      </c>
      <c r="AY11" s="16">
        <v>17.990922015319999</v>
      </c>
      <c r="AZ11" s="16">
        <v>18.897529598625912</v>
      </c>
      <c r="BA11" s="16">
        <v>36.888451613945911</v>
      </c>
    </row>
    <row r="12" spans="2:55" ht="15.75">
      <c r="B12" s="12" t="s">
        <v>34</v>
      </c>
      <c r="C12" s="14">
        <v>706.34289262551806</v>
      </c>
      <c r="D12" s="14">
        <v>866.11853703142367</v>
      </c>
      <c r="E12" s="14">
        <v>1572.4614296569416</v>
      </c>
      <c r="F12" s="14">
        <v>784.44448331725744</v>
      </c>
      <c r="G12" s="14">
        <v>902.55478109726471</v>
      </c>
      <c r="H12" s="14">
        <v>1686.9992644145223</v>
      </c>
      <c r="I12" s="14">
        <v>881.99775710790493</v>
      </c>
      <c r="J12" s="14">
        <v>932.74468536729398</v>
      </c>
      <c r="K12" s="14">
        <v>1814.7424424751989</v>
      </c>
      <c r="L12" s="14">
        <v>970.71988960083218</v>
      </c>
      <c r="M12" s="14">
        <v>986.04136672561117</v>
      </c>
      <c r="N12" s="14">
        <v>1956.7612563264433</v>
      </c>
      <c r="O12" s="14">
        <v>1054.0980328342407</v>
      </c>
      <c r="P12" s="14">
        <v>1120.6030540958097</v>
      </c>
      <c r="Q12" s="14">
        <v>2174.7010869300502</v>
      </c>
      <c r="R12" s="14">
        <v>1146.6037851233441</v>
      </c>
      <c r="S12" s="14">
        <v>1464.9065311170441</v>
      </c>
      <c r="T12" s="14">
        <v>2611.5103162403884</v>
      </c>
      <c r="U12" s="14">
        <v>1507.3697270418352</v>
      </c>
      <c r="V12" s="14">
        <v>1530.5073115845905</v>
      </c>
      <c r="W12" s="14">
        <v>3037.8770386264259</v>
      </c>
      <c r="X12" s="14">
        <v>1755.4787952166714</v>
      </c>
      <c r="Y12" s="14">
        <v>1702.5017534049427</v>
      </c>
      <c r="Z12" s="14">
        <v>3457.9805486216142</v>
      </c>
      <c r="AA12" s="14">
        <v>1950.5099086980831</v>
      </c>
      <c r="AB12" s="14">
        <v>2267.5000003835344</v>
      </c>
      <c r="AC12" s="14">
        <v>4218.0099090816175</v>
      </c>
      <c r="AD12" s="14">
        <v>2115.5635723278756</v>
      </c>
      <c r="AE12" s="14">
        <v>2400.9904415119554</v>
      </c>
      <c r="AF12" s="14">
        <v>4516.554013839831</v>
      </c>
      <c r="AG12" s="15">
        <v>2232.6031993939569</v>
      </c>
      <c r="AH12" s="15">
        <v>2806.7361267229194</v>
      </c>
      <c r="AI12" s="15">
        <v>5039.3393261168767</v>
      </c>
      <c r="AJ12" s="16">
        <v>2754.2886895458023</v>
      </c>
      <c r="AK12" s="16">
        <v>2598.0070801746569</v>
      </c>
      <c r="AL12" s="16">
        <v>5352.2957697204592</v>
      </c>
      <c r="AM12" s="16">
        <v>3044.3829807016728</v>
      </c>
      <c r="AN12" s="16">
        <v>3421.6774480605836</v>
      </c>
      <c r="AO12" s="16">
        <v>6466.0604287622564</v>
      </c>
      <c r="AP12" s="16">
        <v>3627.3449062616251</v>
      </c>
      <c r="AQ12" s="16">
        <v>3491.0567174912017</v>
      </c>
      <c r="AR12" s="16">
        <v>7118.4016237528267</v>
      </c>
      <c r="AS12" s="16">
        <v>4129.8456957386315</v>
      </c>
      <c r="AT12" s="16">
        <v>3804.2596085845144</v>
      </c>
      <c r="AU12" s="16">
        <v>7934.1053043231459</v>
      </c>
      <c r="AV12" s="16">
        <v>4533.7515973113832</v>
      </c>
      <c r="AW12" s="16">
        <v>3983.3788428639286</v>
      </c>
      <c r="AX12" s="16">
        <v>8517.1304401753114</v>
      </c>
      <c r="AY12" s="16">
        <v>4884.4156666587596</v>
      </c>
      <c r="AZ12" s="16">
        <v>4720.2442253877571</v>
      </c>
      <c r="BA12" s="16">
        <v>9604.6598920465167</v>
      </c>
    </row>
    <row r="13" spans="2:55" ht="15.75">
      <c r="B13" s="12" t="s">
        <v>35</v>
      </c>
      <c r="C13" s="14">
        <v>-297.38166732644675</v>
      </c>
      <c r="D13" s="14">
        <v>-410.60593076882253</v>
      </c>
      <c r="E13" s="14">
        <v>-707.98759809526928</v>
      </c>
      <c r="F13" s="14">
        <v>-335.84864990981384</v>
      </c>
      <c r="G13" s="14">
        <v>-348.3713209247137</v>
      </c>
      <c r="H13" s="14">
        <v>-684.21997083452754</v>
      </c>
      <c r="I13" s="14">
        <v>-340.69111176638188</v>
      </c>
      <c r="J13" s="14">
        <v>-306.08783305639497</v>
      </c>
      <c r="K13" s="14">
        <v>-646.77894482277679</v>
      </c>
      <c r="L13" s="14">
        <v>-371.33668801576147</v>
      </c>
      <c r="M13" s="14">
        <v>-299.8447227652444</v>
      </c>
      <c r="N13" s="14">
        <v>-671.18141078100587</v>
      </c>
      <c r="O13" s="14">
        <v>-363.15319974648031</v>
      </c>
      <c r="P13" s="14">
        <v>-350.0441312612341</v>
      </c>
      <c r="Q13" s="14">
        <v>-713.19733100771441</v>
      </c>
      <c r="R13" s="14">
        <v>-340.72941379930268</v>
      </c>
      <c r="S13" s="14">
        <v>-600.50358885955995</v>
      </c>
      <c r="T13" s="14">
        <v>-941.23300265886269</v>
      </c>
      <c r="U13" s="14">
        <v>-600.09814679179294</v>
      </c>
      <c r="V13" s="14">
        <v>-682.37563263920777</v>
      </c>
      <c r="W13" s="14">
        <v>-1282.4737794310008</v>
      </c>
      <c r="X13" s="14">
        <v>-783.87939868557646</v>
      </c>
      <c r="Y13" s="14">
        <v>-666.99812064903222</v>
      </c>
      <c r="Z13" s="14">
        <v>-1450.8775193346087</v>
      </c>
      <c r="AA13" s="14">
        <v>-899.34676509060193</v>
      </c>
      <c r="AB13" s="14">
        <v>-1040.6644980811932</v>
      </c>
      <c r="AC13" s="14">
        <v>-1940.0112631717952</v>
      </c>
      <c r="AD13" s="14">
        <v>-858.35313591342208</v>
      </c>
      <c r="AE13" s="14">
        <v>-969.94094021502303</v>
      </c>
      <c r="AF13" s="14">
        <v>-1828.2940761284451</v>
      </c>
      <c r="AG13" s="15">
        <v>-763.41091446163728</v>
      </c>
      <c r="AH13" s="15">
        <v>-1222.5914595158272</v>
      </c>
      <c r="AI13" s="15">
        <v>-1986.0023739774645</v>
      </c>
      <c r="AJ13" s="16">
        <v>-971.02243570924077</v>
      </c>
      <c r="AK13" s="16">
        <v>-821.89473267280573</v>
      </c>
      <c r="AL13" s="16">
        <v>-1792.9171683820462</v>
      </c>
      <c r="AM13" s="16">
        <v>-970.19928382634168</v>
      </c>
      <c r="AN13" s="16">
        <v>-1153.9541558400633</v>
      </c>
      <c r="AO13" s="16">
        <v>-2121.553944339405</v>
      </c>
      <c r="AP13" s="16">
        <v>-1121.8872036953817</v>
      </c>
      <c r="AQ13" s="16">
        <v>-837.12737561568224</v>
      </c>
      <c r="AR13" s="16">
        <v>-1959.0145793110639</v>
      </c>
      <c r="AS13" s="16">
        <v>-1243.4572482048156</v>
      </c>
      <c r="AT13" s="16">
        <v>-738.39892089185969</v>
      </c>
      <c r="AU13" s="16">
        <v>-1981.8561690966753</v>
      </c>
      <c r="AV13" s="16">
        <v>-1248.0085318370743</v>
      </c>
      <c r="AW13" s="16">
        <v>-493.82978855589869</v>
      </c>
      <c r="AX13" s="16">
        <v>-1741.8383203929729</v>
      </c>
      <c r="AY13" s="16">
        <v>-1154.2753389317049</v>
      </c>
      <c r="AZ13" s="16">
        <v>-759.38092253507943</v>
      </c>
      <c r="BA13" s="16">
        <v>-1913.6562614667851</v>
      </c>
    </row>
    <row r="14" spans="2:55" ht="15.75">
      <c r="B14" s="17" t="s">
        <v>36</v>
      </c>
      <c r="C14" s="18" t="s">
        <v>37</v>
      </c>
      <c r="D14" s="18" t="s">
        <v>37</v>
      </c>
      <c r="E14" s="18" t="s">
        <v>37</v>
      </c>
      <c r="F14" s="18" t="s">
        <v>37</v>
      </c>
      <c r="G14" s="18" t="s">
        <v>37</v>
      </c>
      <c r="H14" s="18" t="s">
        <v>37</v>
      </c>
      <c r="I14" s="18" t="s">
        <v>37</v>
      </c>
      <c r="J14" s="18" t="s">
        <v>37</v>
      </c>
      <c r="K14" s="18" t="s">
        <v>37</v>
      </c>
      <c r="L14" s="18" t="s">
        <v>37</v>
      </c>
      <c r="M14" s="18" t="s">
        <v>37</v>
      </c>
      <c r="N14" s="18" t="s">
        <v>37</v>
      </c>
      <c r="O14" s="18" t="s">
        <v>37</v>
      </c>
      <c r="P14" s="18" t="s">
        <v>37</v>
      </c>
      <c r="Q14" s="18" t="s">
        <v>37</v>
      </c>
      <c r="R14" s="18" t="s">
        <v>37</v>
      </c>
      <c r="S14" s="18" t="s">
        <v>37</v>
      </c>
      <c r="T14" s="18" t="s">
        <v>37</v>
      </c>
      <c r="U14" s="18" t="s">
        <v>37</v>
      </c>
      <c r="V14" s="18" t="s">
        <v>37</v>
      </c>
      <c r="W14" s="18" t="s">
        <v>37</v>
      </c>
      <c r="X14" s="18" t="s">
        <v>37</v>
      </c>
      <c r="Y14" s="18" t="s">
        <v>37</v>
      </c>
      <c r="Z14" s="18" t="s">
        <v>37</v>
      </c>
      <c r="AA14" s="18" t="s">
        <v>37</v>
      </c>
      <c r="AB14" s="18" t="s">
        <v>37</v>
      </c>
      <c r="AC14" s="18" t="s">
        <v>37</v>
      </c>
      <c r="AD14" s="18" t="s">
        <v>37</v>
      </c>
      <c r="AE14" s="18" t="s">
        <v>37</v>
      </c>
      <c r="AF14" s="18" t="s">
        <v>37</v>
      </c>
      <c r="AG14" s="18" t="s">
        <v>37</v>
      </c>
      <c r="AH14" s="18" t="s">
        <v>37</v>
      </c>
      <c r="AI14" s="18" t="s">
        <v>37</v>
      </c>
      <c r="AJ14" s="18" t="s">
        <v>37</v>
      </c>
      <c r="AK14" s="18" t="s">
        <v>37</v>
      </c>
      <c r="AL14" s="18" t="s">
        <v>37</v>
      </c>
      <c r="AM14" s="18" t="str">
        <f t="shared" ref="AM14:AN14" si="0">IF(ABS(AM7-AM12-AM13)&gt;0.01,AM7-AM12-AM13,"")</f>
        <v/>
      </c>
      <c r="AN14" s="18" t="str">
        <f t="shared" si="0"/>
        <v/>
      </c>
      <c r="AO14" s="18">
        <f>IF(ABS(AO7-AO12-AO13)&gt;0.01,AO7-AO12-AO13,"")</f>
        <v>-2.5994953270005681</v>
      </c>
      <c r="AP14" s="18" t="str">
        <f t="shared" ref="AP14:BA14" si="1">IF(ABS(AP7-AP12-AP13)&gt;0.01,AP7-AP12-AP13,"")</f>
        <v/>
      </c>
      <c r="AQ14" s="18" t="str">
        <f t="shared" si="1"/>
        <v/>
      </c>
      <c r="AR14" s="18" t="str">
        <f t="shared" si="1"/>
        <v/>
      </c>
      <c r="AS14" s="18" t="str">
        <f t="shared" si="1"/>
        <v/>
      </c>
      <c r="AT14" s="18" t="str">
        <f t="shared" si="1"/>
        <v/>
      </c>
      <c r="AU14" s="18" t="str">
        <f t="shared" si="1"/>
        <v/>
      </c>
      <c r="AV14" s="18" t="str">
        <f t="shared" si="1"/>
        <v/>
      </c>
      <c r="AW14" s="18" t="str">
        <f t="shared" si="1"/>
        <v/>
      </c>
      <c r="AX14" s="18" t="str">
        <f t="shared" si="1"/>
        <v/>
      </c>
      <c r="AY14" s="18" t="str">
        <f t="shared" si="1"/>
        <v/>
      </c>
      <c r="AZ14" s="18" t="str">
        <f t="shared" si="1"/>
        <v/>
      </c>
      <c r="BA14" s="18" t="str">
        <f t="shared" si="1"/>
        <v/>
      </c>
    </row>
    <row r="15" spans="2:55" ht="15.75">
      <c r="B15" s="19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>
        <v>1465.8582474876589</v>
      </c>
      <c r="N15" s="20">
        <v>9.4111371714942216E-2</v>
      </c>
      <c r="O15" s="18"/>
      <c r="P15" s="18">
        <v>1603.8121778983837</v>
      </c>
      <c r="Q15" s="20">
        <v>0.30140546844784422</v>
      </c>
      <c r="R15" s="18"/>
      <c r="S15" s="18">
        <v>2087.2099386802033</v>
      </c>
      <c r="T15" s="20">
        <v>0.1107739663829217</v>
      </c>
      <c r="U15" s="18">
        <v>2318.4184622616644</v>
      </c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21"/>
      <c r="AH15" s="21"/>
      <c r="AI15" s="21"/>
      <c r="AJ15" s="22"/>
      <c r="AK15" s="22"/>
      <c r="AL15" s="22"/>
      <c r="AM15" s="22"/>
      <c r="AN15" s="22"/>
      <c r="AO15" s="22"/>
      <c r="AP15" s="22"/>
      <c r="AQ15" s="22"/>
      <c r="AR15" s="22"/>
      <c r="AS15" s="22"/>
      <c r="AT15" s="22"/>
      <c r="AU15" s="22"/>
      <c r="AV15" s="22"/>
      <c r="AW15" s="22"/>
      <c r="AX15" s="22"/>
      <c r="AY15" s="22"/>
      <c r="AZ15" s="22"/>
      <c r="BA15" s="22"/>
    </row>
    <row r="16" spans="2:55" ht="15.75">
      <c r="B16" s="12"/>
      <c r="C16" s="14"/>
      <c r="D16" s="14"/>
      <c r="E16" s="14"/>
      <c r="F16" s="14"/>
      <c r="G16" s="14"/>
      <c r="H16" s="23">
        <v>1229.0158938074383</v>
      </c>
      <c r="I16" s="23">
        <v>631.72635126004923</v>
      </c>
      <c r="J16" s="23">
        <v>680.64867305965356</v>
      </c>
      <c r="K16" s="23">
        <v>1312.3750243197026</v>
      </c>
      <c r="L16" s="23">
        <v>694.45265963977897</v>
      </c>
      <c r="M16" s="23">
        <v>729.25224803146875</v>
      </c>
      <c r="N16" s="23">
        <v>1423.7049076712478</v>
      </c>
      <c r="O16" s="23">
        <v>736.60599945619003</v>
      </c>
      <c r="P16" s="23">
        <v>805.28529763681001</v>
      </c>
      <c r="Q16" s="23">
        <v>1541.891297093</v>
      </c>
      <c r="R16" s="23">
        <v>798.52688026157352</v>
      </c>
      <c r="S16" s="23">
        <v>1070.164379754656</v>
      </c>
      <c r="T16" s="23">
        <v>1868.69126001623</v>
      </c>
      <c r="U16" s="23">
        <v>1017.0455589255474</v>
      </c>
      <c r="V16" s="23">
        <v>1088.7715987698191</v>
      </c>
      <c r="W16" s="23">
        <v>2105.8171576953664</v>
      </c>
      <c r="X16" s="23">
        <v>1229.6468634918454</v>
      </c>
      <c r="Y16" s="23">
        <v>1167.2740454914635</v>
      </c>
      <c r="Z16" s="23">
        <v>2396.9209089833089</v>
      </c>
      <c r="AA16" s="23">
        <v>1346.8885515355817</v>
      </c>
      <c r="AB16" s="23">
        <v>1590.2640597839807</v>
      </c>
      <c r="AC16" s="23">
        <v>2937.1526113195623</v>
      </c>
      <c r="AD16" s="23">
        <v>1456.7093055379871</v>
      </c>
      <c r="AE16" s="14"/>
      <c r="AF16" s="14"/>
      <c r="AG16" s="16"/>
      <c r="AH16" s="16"/>
      <c r="AI16" s="16"/>
      <c r="AJ16" s="16"/>
      <c r="AK16" s="16"/>
      <c r="AL16" s="16"/>
      <c r="AM16" s="16"/>
      <c r="AN16" s="16"/>
      <c r="AO16" s="16"/>
      <c r="AP16" s="16"/>
      <c r="AQ16" s="16"/>
      <c r="AR16" s="16"/>
      <c r="AS16" s="16"/>
      <c r="AT16" s="16"/>
      <c r="AU16" s="16"/>
      <c r="AV16" s="16"/>
      <c r="AW16" s="16"/>
      <c r="AX16" s="16"/>
      <c r="AY16" s="16"/>
      <c r="AZ16" s="16"/>
      <c r="BA16" s="16"/>
    </row>
    <row r="17" spans="2:53" ht="15.75">
      <c r="B17" s="12" t="s">
        <v>25</v>
      </c>
      <c r="C17" s="14">
        <v>2590</v>
      </c>
      <c r="D17" s="14">
        <v>2749</v>
      </c>
      <c r="E17" s="14">
        <v>5339</v>
      </c>
      <c r="F17" s="14">
        <v>2873</v>
      </c>
      <c r="G17" s="14">
        <v>2965</v>
      </c>
      <c r="H17" s="14">
        <v>5838</v>
      </c>
      <c r="I17" s="14">
        <v>3185</v>
      </c>
      <c r="J17" s="14">
        <v>3372</v>
      </c>
      <c r="K17" s="14">
        <v>6557</v>
      </c>
      <c r="L17" s="14">
        <v>3474</v>
      </c>
      <c r="M17" s="14">
        <v>3763</v>
      </c>
      <c r="N17" s="14">
        <v>7237</v>
      </c>
      <c r="O17" s="14">
        <v>3932</v>
      </c>
      <c r="P17" s="14">
        <v>4081</v>
      </c>
      <c r="Q17" s="14">
        <v>8013</v>
      </c>
      <c r="R17" s="14">
        <v>4218</v>
      </c>
      <c r="S17" s="14">
        <v>4499</v>
      </c>
      <c r="T17" s="14">
        <v>8717</v>
      </c>
      <c r="U17" s="14">
        <v>4808</v>
      </c>
      <c r="V17" s="14">
        <v>4578</v>
      </c>
      <c r="W17" s="14">
        <v>9386</v>
      </c>
      <c r="X17" s="14">
        <v>5019</v>
      </c>
      <c r="Y17" s="14">
        <v>5251</v>
      </c>
      <c r="Z17" s="14">
        <v>10270</v>
      </c>
      <c r="AA17" s="24">
        <v>5682</v>
      </c>
      <c r="AB17" s="24">
        <v>6306</v>
      </c>
      <c r="AC17" s="24">
        <v>11988</v>
      </c>
      <c r="AD17" s="24">
        <v>7414</v>
      </c>
      <c r="AE17" s="24">
        <v>7879</v>
      </c>
      <c r="AF17" s="24">
        <v>15293</v>
      </c>
      <c r="AG17" s="25">
        <v>8890</v>
      </c>
      <c r="AH17" s="25">
        <v>9480</v>
      </c>
      <c r="AI17" s="25">
        <v>18370</v>
      </c>
      <c r="AJ17" s="26">
        <v>10438</v>
      </c>
      <c r="AK17" s="26">
        <v>11074</v>
      </c>
      <c r="AL17" s="27">
        <v>21512</v>
      </c>
      <c r="AM17" s="27">
        <v>12719.344769322401</v>
      </c>
      <c r="AN17" s="27">
        <v>12719.344769322401</v>
      </c>
      <c r="AO17" s="27">
        <v>25438.689538644801</v>
      </c>
      <c r="AP17" s="27">
        <v>14684.878547616787</v>
      </c>
      <c r="AQ17" s="27">
        <v>14684.878547616787</v>
      </c>
      <c r="AR17" s="27">
        <v>29369.757095233574</v>
      </c>
      <c r="AS17" s="27">
        <v>16584.620036406115</v>
      </c>
      <c r="AT17" s="27">
        <v>16584.620036406115</v>
      </c>
      <c r="AU17" s="27">
        <v>33169.24007281223</v>
      </c>
      <c r="AV17" s="27">
        <v>18629.018513773546</v>
      </c>
      <c r="AW17" s="27">
        <v>18629.018513773546</v>
      </c>
      <c r="AX17" s="27">
        <v>37258.037027547092</v>
      </c>
      <c r="AY17" s="27">
        <v>20932.087692283047</v>
      </c>
      <c r="AZ17" s="27">
        <v>20932.087692283047</v>
      </c>
      <c r="BA17" s="27">
        <v>41864.175384566093</v>
      </c>
    </row>
    <row r="18" spans="2:53" ht="15.75">
      <c r="B18" s="12" t="s">
        <v>26</v>
      </c>
      <c r="C18" s="28">
        <v>0.15790008698805841</v>
      </c>
      <c r="D18" s="28">
        <v>0.1657012027146603</v>
      </c>
      <c r="E18" s="28">
        <v>0.16191680681057732</v>
      </c>
      <c r="F18" s="28">
        <v>0.15614195384874477</v>
      </c>
      <c r="G18" s="28">
        <v>0.18690841827067492</v>
      </c>
      <c r="H18" s="28">
        <v>0.1717676076704342</v>
      </c>
      <c r="I18" s="28">
        <v>0.16995499068807632</v>
      </c>
      <c r="J18" s="28">
        <v>0.1858412966521053</v>
      </c>
      <c r="K18" s="28">
        <v>0.17812467556083914</v>
      </c>
      <c r="L18" s="28">
        <v>0.1725340246358868</v>
      </c>
      <c r="M18" s="28">
        <v>0.18235361253265123</v>
      </c>
      <c r="N18" s="28">
        <v>0.17763988469606706</v>
      </c>
      <c r="O18" s="28">
        <v>0.175723507906348</v>
      </c>
      <c r="P18" s="28">
        <v>0.18881620260587501</v>
      </c>
      <c r="Q18" s="28">
        <v>0.18239158316764462</v>
      </c>
      <c r="R18" s="28">
        <v>0.19105603872073054</v>
      </c>
      <c r="S18" s="28">
        <v>0.19213223877694691</v>
      </c>
      <c r="T18" s="28">
        <v>0.1916114848665281</v>
      </c>
      <c r="U18" s="28">
        <v>0.1887004118656494</v>
      </c>
      <c r="V18" s="28">
        <v>0.18526248994001368</v>
      </c>
      <c r="W18" s="28">
        <v>0.18702357332148148</v>
      </c>
      <c r="X18" s="28">
        <v>0.19358425912155708</v>
      </c>
      <c r="Y18" s="28">
        <v>0.19720122505349658</v>
      </c>
      <c r="Z18" s="28">
        <v>0.19543359584099371</v>
      </c>
      <c r="AA18" s="28">
        <v>0.18499879331353064</v>
      </c>
      <c r="AB18" s="28">
        <v>0.19455050781832242</v>
      </c>
      <c r="AC18" s="28">
        <v>0.1900232437362214</v>
      </c>
      <c r="AD18" s="28">
        <v>0.16957248940038488</v>
      </c>
      <c r="AE18" s="28">
        <v>0.18162831594071996</v>
      </c>
      <c r="AF18" s="28">
        <v>0.17578368781216153</v>
      </c>
      <c r="AG18" s="29">
        <v>0.16526347412062087</v>
      </c>
      <c r="AH18" s="29">
        <v>0.16710386784884937</v>
      </c>
      <c r="AI18" s="29">
        <v>0.16621322548390918</v>
      </c>
      <c r="AJ18" s="30">
        <f>AJ7/AJ$17</f>
        <v>0.17084367252697466</v>
      </c>
      <c r="AK18" s="30">
        <f t="shared" ref="AK18:BA24" si="2">AK7/AK$17</f>
        <v>0.16038579984665441</v>
      </c>
      <c r="AL18" s="30">
        <f t="shared" si="2"/>
        <v>0.16546014323811883</v>
      </c>
      <c r="AM18" s="30">
        <f t="shared" si="2"/>
        <v>0.16307315624292407</v>
      </c>
      <c r="AN18" s="30">
        <f t="shared" si="2"/>
        <v>0.1782893170479983</v>
      </c>
      <c r="AO18" s="30">
        <f t="shared" si="2"/>
        <v>0.17068123664546117</v>
      </c>
      <c r="AP18" s="30">
        <f t="shared" si="2"/>
        <v>0.17061480586591948</v>
      </c>
      <c r="AQ18" s="30">
        <f t="shared" si="2"/>
        <v>0.18072531776616066</v>
      </c>
      <c r="AR18" s="30">
        <f t="shared" si="2"/>
        <v>0.17567006181604009</v>
      </c>
      <c r="AS18" s="30">
        <f t="shared" si="2"/>
        <v>0.17404007093305077</v>
      </c>
      <c r="AT18" s="30">
        <f t="shared" si="2"/>
        <v>0.18486167792584693</v>
      </c>
      <c r="AU18" s="30">
        <f t="shared" si="2"/>
        <v>0.17945087442944885</v>
      </c>
      <c r="AV18" s="30">
        <f t="shared" si="2"/>
        <v>0.17637767996445769</v>
      </c>
      <c r="AW18" s="30">
        <f t="shared" si="2"/>
        <v>0.18731792293447977</v>
      </c>
      <c r="AX18" s="30">
        <f t="shared" si="2"/>
        <v>0.18184780144946874</v>
      </c>
      <c r="AY18" s="30">
        <f t="shared" si="2"/>
        <v>0.17820202086685463</v>
      </c>
      <c r="AZ18" s="30">
        <f t="shared" si="2"/>
        <v>0.18922447493438097</v>
      </c>
      <c r="BA18" s="30">
        <f t="shared" si="2"/>
        <v>0.1837132479006178</v>
      </c>
    </row>
    <row r="19" spans="2:53" ht="15.75">
      <c r="B19" s="12" t="s">
        <v>27</v>
      </c>
      <c r="C19" s="28">
        <v>0.25010853330717608</v>
      </c>
      <c r="D19" s="28">
        <v>0.27981091687369697</v>
      </c>
      <c r="E19" s="28">
        <v>0.26540200632166683</v>
      </c>
      <c r="F19" s="28">
        <v>0.24361701413347031</v>
      </c>
      <c r="G19" s="28">
        <v>0.26451583032444453</v>
      </c>
      <c r="H19" s="28">
        <v>0.25423109258606341</v>
      </c>
      <c r="I19" s="28">
        <v>0.24308665711398716</v>
      </c>
      <c r="J19" s="28">
        <v>0.24446623266241208</v>
      </c>
      <c r="K19" s="28">
        <v>0.24379611704219956</v>
      </c>
      <c r="L19" s="28">
        <v>0.25378902611047183</v>
      </c>
      <c r="M19" s="28">
        <v>0.23028581068069859</v>
      </c>
      <c r="N19" s="28">
        <v>0.24156813352207376</v>
      </c>
      <c r="O19" s="28">
        <v>0.23316284047512462</v>
      </c>
      <c r="P19" s="28">
        <v>0.24126688335035776</v>
      </c>
      <c r="Q19" s="28">
        <v>0.23729020837401724</v>
      </c>
      <c r="R19" s="28">
        <v>0.23435779013574529</v>
      </c>
      <c r="S19" s="28">
        <v>0.28732641733288644</v>
      </c>
      <c r="T19" s="28">
        <v>0.26169584838513593</v>
      </c>
      <c r="U19" s="28">
        <v>0.25797195204857476</v>
      </c>
      <c r="V19" s="28">
        <v>0.27876037902398842</v>
      </c>
      <c r="W19" s="28">
        <v>0.26811145968691313</v>
      </c>
      <c r="X19" s="28">
        <v>0.28799240241698459</v>
      </c>
      <c r="Y19" s="28">
        <v>0.26395199056112428</v>
      </c>
      <c r="Z19" s="28">
        <v>0.27570065921784898</v>
      </c>
      <c r="AA19" s="28">
        <v>0.27753284495082398</v>
      </c>
      <c r="AB19" s="28">
        <v>0.28940104091388846</v>
      </c>
      <c r="AC19" s="28">
        <v>0.28377582490937286</v>
      </c>
      <c r="AD19" s="28">
        <v>0.23014236182991465</v>
      </c>
      <c r="AE19" s="28">
        <v>0.25642373092229626</v>
      </c>
      <c r="AF19" s="28">
        <v>0.24368260292576732</v>
      </c>
      <c r="AG19" s="29">
        <v>0.20574123708248424</v>
      </c>
      <c r="AH19" s="29">
        <v>0.24523429509763753</v>
      </c>
      <c r="AI19" s="29">
        <v>0.22612197687473534</v>
      </c>
      <c r="AJ19" s="30">
        <f t="shared" ref="AJ19:AY24" si="3">AJ8/AJ$17</f>
        <v>0.21314772338168717</v>
      </c>
      <c r="AK19" s="30">
        <f t="shared" si="3"/>
        <v>0.18865090699938322</v>
      </c>
      <c r="AL19" s="30">
        <f t="shared" si="3"/>
        <v>0.20053719230054018</v>
      </c>
      <c r="AM19" s="30">
        <f t="shared" si="3"/>
        <v>0.18828649942779166</v>
      </c>
      <c r="AN19" s="30">
        <f t="shared" si="3"/>
        <v>0.19110022215069522</v>
      </c>
      <c r="AO19" s="30">
        <f t="shared" si="3"/>
        <v>0.18969336078924343</v>
      </c>
      <c r="AP19" s="30">
        <f t="shared" si="3"/>
        <v>0.18928740330000102</v>
      </c>
      <c r="AQ19" s="30">
        <f t="shared" si="3"/>
        <v>0.18040876655958882</v>
      </c>
      <c r="AR19" s="30">
        <f t="shared" si="3"/>
        <v>0.18484808492979496</v>
      </c>
      <c r="AS19" s="30">
        <f t="shared" si="3"/>
        <v>0.19484990460117188</v>
      </c>
      <c r="AT19" s="30">
        <f t="shared" si="3"/>
        <v>0.18503034888548991</v>
      </c>
      <c r="AU19" s="30">
        <f t="shared" si="3"/>
        <v>0.18994012674333088</v>
      </c>
      <c r="AV19" s="30">
        <f t="shared" si="3"/>
        <v>0.20936618216901065</v>
      </c>
      <c r="AW19" s="30">
        <f t="shared" si="3"/>
        <v>0.17957404570351287</v>
      </c>
      <c r="AX19" s="30">
        <f t="shared" si="3"/>
        <v>0.19447011393626176</v>
      </c>
      <c r="AY19" s="30">
        <f t="shared" si="3"/>
        <v>0.20058474431071402</v>
      </c>
      <c r="AZ19" s="30">
        <f t="shared" si="2"/>
        <v>0.19462159095390191</v>
      </c>
      <c r="BA19" s="30">
        <f t="shared" si="2"/>
        <v>0.19760316763230795</v>
      </c>
    </row>
    <row r="20" spans="2:53" ht="15.75">
      <c r="B20" s="12" t="s">
        <v>28</v>
      </c>
      <c r="C20" s="28">
        <v>2.2610730254800013E-2</v>
      </c>
      <c r="D20" s="28">
        <v>3.52558481431905E-2</v>
      </c>
      <c r="E20" s="28">
        <v>2.912158042808817E-2</v>
      </c>
      <c r="F20" s="28">
        <v>2.942318193936554E-2</v>
      </c>
      <c r="G20" s="28">
        <v>3.9887131259793179E-2</v>
      </c>
      <c r="H20" s="28">
        <v>3.4737606354416577E-2</v>
      </c>
      <c r="I20" s="28">
        <v>3.3835715604350329E-2</v>
      </c>
      <c r="J20" s="28">
        <v>3.2148442713416547E-2</v>
      </c>
      <c r="K20" s="28">
        <v>3.2968019373112153E-2</v>
      </c>
      <c r="L20" s="28">
        <v>2.5635236871920909E-2</v>
      </c>
      <c r="M20" s="28">
        <v>3.1750162406096842E-2</v>
      </c>
      <c r="N20" s="28">
        <v>2.8814795360950069E-2</v>
      </c>
      <c r="O20" s="28">
        <v>3.4919060042230637E-2</v>
      </c>
      <c r="P20" s="28">
        <v>3.3323426401127128E-2</v>
      </c>
      <c r="Q20" s="28">
        <v>3.4106407990646535E-2</v>
      </c>
      <c r="R20" s="28">
        <v>3.7478100125834614E-2</v>
      </c>
      <c r="S20" s="28">
        <v>3.8280724502420149E-2</v>
      </c>
      <c r="T20" s="28">
        <v>3.7892348958031279E-2</v>
      </c>
      <c r="U20" s="28">
        <v>5.5540886354469181E-2</v>
      </c>
      <c r="V20" s="28">
        <v>5.5557513414760069E-2</v>
      </c>
      <c r="W20" s="28">
        <v>5.554899616503936E-2</v>
      </c>
      <c r="X20" s="28">
        <v>6.145136843013068E-2</v>
      </c>
      <c r="Y20" s="28">
        <v>5.4699020421915684E-2</v>
      </c>
      <c r="Z20" s="28">
        <v>5.799892642515142E-2</v>
      </c>
      <c r="AA20" s="28">
        <v>6.5745914059750388E-2</v>
      </c>
      <c r="AB20" s="28">
        <v>7.0177138658508359E-2</v>
      </c>
      <c r="AC20" s="28">
        <v>6.8076853525863817E-2</v>
      </c>
      <c r="AD20" s="28">
        <v>5.5204761494589742E-2</v>
      </c>
      <c r="AE20" s="28">
        <v>4.83091592302555E-2</v>
      </c>
      <c r="AF20" s="28">
        <v>5.165212628627943E-2</v>
      </c>
      <c r="AG20" s="29">
        <v>4.5395230790851775E-2</v>
      </c>
      <c r="AH20" s="29">
        <v>5.0834916581995272E-2</v>
      </c>
      <c r="AI20" s="29">
        <v>4.8202428466411949E-2</v>
      </c>
      <c r="AJ20" s="30">
        <f t="shared" si="3"/>
        <v>5.0723582380508878E-2</v>
      </c>
      <c r="AK20" s="30">
        <f t="shared" si="2"/>
        <v>4.595330829542054E-2</v>
      </c>
      <c r="AL20" s="30">
        <f t="shared" si="2"/>
        <v>4.8267929014096267E-2</v>
      </c>
      <c r="AM20" s="30">
        <f t="shared" si="2"/>
        <v>5.1064114610470376E-2</v>
      </c>
      <c r="AN20" s="30">
        <f t="shared" si="2"/>
        <v>7.791343461512161E-2</v>
      </c>
      <c r="AO20" s="30">
        <f t="shared" si="2"/>
        <v>6.4386587928884811E-2</v>
      </c>
      <c r="AP20" s="30">
        <f t="shared" si="2"/>
        <v>5.7724847737669852E-2</v>
      </c>
      <c r="AQ20" s="30">
        <f t="shared" si="2"/>
        <v>5.7322632183083554E-2</v>
      </c>
      <c r="AR20" s="30">
        <f t="shared" si="2"/>
        <v>5.7523739960376706E-2</v>
      </c>
      <c r="AS20" s="30">
        <f t="shared" si="2"/>
        <v>5.4166695518270393E-2</v>
      </c>
      <c r="AT20" s="30">
        <f t="shared" si="2"/>
        <v>4.4354442579946474E-2</v>
      </c>
      <c r="AU20" s="30">
        <f t="shared" si="2"/>
        <v>4.926056904910843E-2</v>
      </c>
      <c r="AV20" s="30">
        <f t="shared" si="2"/>
        <v>3.400421300018782E-2</v>
      </c>
      <c r="AW20" s="30">
        <f t="shared" si="2"/>
        <v>3.4252508815115039E-2</v>
      </c>
      <c r="AX20" s="30">
        <f t="shared" si="2"/>
        <v>3.412836090765143E-2</v>
      </c>
      <c r="AY20" s="30">
        <f t="shared" si="2"/>
        <v>3.2761099566076049E-2</v>
      </c>
      <c r="AZ20" s="30">
        <f t="shared" si="2"/>
        <v>3.0881201446874819E-2</v>
      </c>
      <c r="BA20" s="30">
        <f t="shared" si="2"/>
        <v>3.1821150506475437E-2</v>
      </c>
    </row>
    <row r="21" spans="2:53" ht="15.75">
      <c r="B21" s="12" t="s">
        <v>60</v>
      </c>
      <c r="C21" s="28"/>
      <c r="D21" s="28"/>
      <c r="E21" s="28"/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  <c r="AA21" s="28">
        <v>7.128367896339317E-3</v>
      </c>
      <c r="AB21" s="28">
        <v>1.8462916045036474E-2</v>
      </c>
      <c r="AC21" s="28">
        <v>1.3090635215799132E-2</v>
      </c>
      <c r="AD21" s="28">
        <v>1.3444804708115725E-2</v>
      </c>
      <c r="AE21" s="28">
        <v>5.2995792006599821E-3</v>
      </c>
      <c r="AF21" s="28">
        <v>9.2483598135074847E-3</v>
      </c>
      <c r="AG21" s="29">
        <v>6.4071017364454447E-3</v>
      </c>
      <c r="AH21" s="29">
        <v>5.7433238272151894E-3</v>
      </c>
      <c r="AI21" s="29">
        <v>6.0645533107784432E-3</v>
      </c>
      <c r="AJ21" s="30">
        <f t="shared" si="3"/>
        <v>1.0664523879733379E-2</v>
      </c>
      <c r="AK21" s="30">
        <f t="shared" si="2"/>
        <v>4.7535104091790681E-3</v>
      </c>
      <c r="AL21" s="30">
        <f t="shared" si="2"/>
        <v>7.6216379010740978E-3</v>
      </c>
      <c r="AM21" s="30">
        <f t="shared" si="2"/>
        <v>1.4196225612894551E-2</v>
      </c>
      <c r="AN21" s="30">
        <f t="shared" si="2"/>
        <v>3.2602178445215714E-2</v>
      </c>
      <c r="AO21" s="30">
        <f t="shared" si="2"/>
        <v>2.3297015345143956E-2</v>
      </c>
      <c r="AP21" s="30">
        <f t="shared" si="2"/>
        <v>1.608934355340037E-2</v>
      </c>
      <c r="AQ21" s="30">
        <f t="shared" si="2"/>
        <v>1.8417076694140912E-2</v>
      </c>
      <c r="AR21" s="30">
        <f t="shared" si="2"/>
        <v>1.7253210123770641E-2</v>
      </c>
      <c r="AS21" s="30">
        <f t="shared" si="2"/>
        <v>1.551445091253904E-2</v>
      </c>
      <c r="AT21" s="30">
        <f t="shared" si="2"/>
        <v>9.2087875543163736E-3</v>
      </c>
      <c r="AU21" s="30">
        <f t="shared" si="2"/>
        <v>1.2361619233427705E-2</v>
      </c>
      <c r="AV21" s="30">
        <f t="shared" si="2"/>
        <v>1.845498418061695E-3</v>
      </c>
      <c r="AW21" s="30">
        <f t="shared" si="2"/>
        <v>1.9125687781365592E-3</v>
      </c>
      <c r="AX21" s="30">
        <f t="shared" si="2"/>
        <v>1.8790335980991273E-3</v>
      </c>
      <c r="AY21" s="30">
        <f t="shared" si="2"/>
        <v>1.5220096420838747E-3</v>
      </c>
      <c r="AZ21" s="30">
        <f t="shared" si="2"/>
        <v>1.6205314611715239E-3</v>
      </c>
      <c r="BA21" s="30">
        <f t="shared" si="2"/>
        <v>1.5712705516276993E-3</v>
      </c>
    </row>
    <row r="22" spans="2:53" ht="15.75">
      <c r="B22" s="12" t="s">
        <v>61</v>
      </c>
      <c r="C22" s="28"/>
      <c r="D22" s="28"/>
      <c r="E22" s="28"/>
      <c r="F22" s="28"/>
      <c r="G22" s="28"/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  <c r="AA22" s="28">
        <v>2.0812834692009855E-3</v>
      </c>
      <c r="AB22" s="28">
        <v>1.7700068981921979E-3</v>
      </c>
      <c r="AC22" s="28">
        <v>1.9175438915582249E-3</v>
      </c>
      <c r="AD22" s="28">
        <v>1.5653015490963043E-3</v>
      </c>
      <c r="AE22" s="28">
        <v>1.4502479152176673E-3</v>
      </c>
      <c r="AF22" s="28">
        <v>1.5060255678414961E-3</v>
      </c>
      <c r="AG22" s="29">
        <v>1.3018302492688414E-3</v>
      </c>
      <c r="AH22" s="29">
        <v>8.5460696434599167E-4</v>
      </c>
      <c r="AI22" s="29">
        <v>1.0710367413173654E-3</v>
      </c>
      <c r="AJ22" s="30">
        <f t="shared" si="3"/>
        <v>8.5745282822379757E-4</v>
      </c>
      <c r="AK22" s="30">
        <f t="shared" si="2"/>
        <v>2.4562037204262231E-3</v>
      </c>
      <c r="AL22" s="30">
        <f t="shared" si="2"/>
        <v>1.6804617246653031E-3</v>
      </c>
      <c r="AM22" s="30">
        <f t="shared" si="2"/>
        <v>1.1927597911482837E-2</v>
      </c>
      <c r="AN22" s="30">
        <f t="shared" si="2"/>
        <v>2.986153943589917E-2</v>
      </c>
      <c r="AO22" s="30">
        <f t="shared" si="2"/>
        <v>2.0894568673691005E-2</v>
      </c>
      <c r="AP22" s="30">
        <f t="shared" si="2"/>
        <v>1.4982632219702323E-2</v>
      </c>
      <c r="AQ22" s="30">
        <f t="shared" si="2"/>
        <v>1.7310365360442864E-2</v>
      </c>
      <c r="AR22" s="30">
        <f t="shared" si="2"/>
        <v>1.6146498790072593E-2</v>
      </c>
      <c r="AS22" s="30">
        <f t="shared" si="2"/>
        <v>1.4608784068376906E-2</v>
      </c>
      <c r="AT22" s="30">
        <f t="shared" si="2"/>
        <v>8.3031207101542416E-3</v>
      </c>
      <c r="AU22" s="30">
        <f t="shared" si="2"/>
        <v>1.1455952389265573E-2</v>
      </c>
      <c r="AV22" s="30">
        <f t="shared" si="2"/>
        <v>1.0714729448603598E-3</v>
      </c>
      <c r="AW22" s="30">
        <f t="shared" si="2"/>
        <v>1.0740411821684465E-3</v>
      </c>
      <c r="AX22" s="30">
        <f t="shared" si="2"/>
        <v>1.0727570635144033E-3</v>
      </c>
      <c r="AY22" s="30">
        <f t="shared" si="2"/>
        <v>8.5949009385970817E-4</v>
      </c>
      <c r="AZ22" s="30">
        <f t="shared" si="2"/>
        <v>9.0280195059534328E-4</v>
      </c>
      <c r="BA22" s="30">
        <f t="shared" si="2"/>
        <v>8.8114602222752578E-4</v>
      </c>
    </row>
    <row r="23" spans="2:53" ht="15.75">
      <c r="B23" s="12" t="s">
        <v>29</v>
      </c>
      <c r="C23" s="28">
        <v>0.27271926356197607</v>
      </c>
      <c r="D23" s="28">
        <v>0.31506676501688746</v>
      </c>
      <c r="E23" s="28">
        <v>0.29452358674975493</v>
      </c>
      <c r="F23" s="28">
        <v>0.27304019607283586</v>
      </c>
      <c r="G23" s="28">
        <v>0.30440296158423769</v>
      </c>
      <c r="H23" s="28">
        <v>0.28896869894048</v>
      </c>
      <c r="I23" s="28">
        <v>0.27692237271833747</v>
      </c>
      <c r="J23" s="28">
        <v>0.27661467537582857</v>
      </c>
      <c r="K23" s="28">
        <v>0.27676413641531172</v>
      </c>
      <c r="L23" s="28">
        <v>0.2794242629823927</v>
      </c>
      <c r="M23" s="28">
        <v>0.26203597308679544</v>
      </c>
      <c r="N23" s="28">
        <v>0.27038292888302379</v>
      </c>
      <c r="O23" s="28">
        <v>0.2680819005173552</v>
      </c>
      <c r="P23" s="28">
        <v>0.27459030975148485</v>
      </c>
      <c r="Q23" s="28">
        <v>0.27139661636466372</v>
      </c>
      <c r="R23" s="28">
        <v>0.27183589026157989</v>
      </c>
      <c r="S23" s="28">
        <v>0.32560714183530653</v>
      </c>
      <c r="T23" s="28">
        <v>0.29958819734316722</v>
      </c>
      <c r="U23" s="28">
        <v>0.31351283840304395</v>
      </c>
      <c r="V23" s="28">
        <v>0.33431789243874849</v>
      </c>
      <c r="W23" s="28">
        <v>0.32366045585195247</v>
      </c>
      <c r="X23" s="28">
        <v>0.34976664578933481</v>
      </c>
      <c r="Y23" s="28">
        <v>0.32422429125974916</v>
      </c>
      <c r="Z23" s="28">
        <v>0.33670696675965084</v>
      </c>
      <c r="AA23" s="28">
        <v>0.34327875901057431</v>
      </c>
      <c r="AB23" s="28">
        <v>0.35957817957239685</v>
      </c>
      <c r="AC23" s="28">
        <v>0.35185267843523671</v>
      </c>
      <c r="AD23" s="28">
        <v>0.2853471233245044</v>
      </c>
      <c r="AE23" s="28">
        <v>0.30473289015255178</v>
      </c>
      <c r="AF23" s="28">
        <v>0.29533472921204673</v>
      </c>
      <c r="AG23" s="29">
        <v>0.25113646787333599</v>
      </c>
      <c r="AH23" s="29">
        <v>0.29606921167963285</v>
      </c>
      <c r="AI23" s="29">
        <v>0.27432440534114733</v>
      </c>
      <c r="AJ23" s="30">
        <f t="shared" si="3"/>
        <v>0.26387130576219603</v>
      </c>
      <c r="AK23" s="30">
        <f t="shared" si="2"/>
        <v>0.23460421529480377</v>
      </c>
      <c r="AL23" s="30">
        <f t="shared" si="2"/>
        <v>0.24880512131463645</v>
      </c>
      <c r="AM23" s="30">
        <f t="shared" si="2"/>
        <v>0.23935061403826202</v>
      </c>
      <c r="AN23" s="30">
        <f t="shared" si="2"/>
        <v>0.26901365676581679</v>
      </c>
      <c r="AO23" s="30">
        <f t="shared" si="2"/>
        <v>0.25418213540203943</v>
      </c>
      <c r="AP23" s="30">
        <f t="shared" si="2"/>
        <v>0.24701225103767085</v>
      </c>
      <c r="AQ23" s="30">
        <f t="shared" si="2"/>
        <v>0.23773139874267235</v>
      </c>
      <c r="AR23" s="30">
        <f t="shared" si="2"/>
        <v>0.24237182489017162</v>
      </c>
      <c r="AS23" s="30">
        <f t="shared" si="2"/>
        <v>0.24901660011944227</v>
      </c>
      <c r="AT23" s="30">
        <f t="shared" si="2"/>
        <v>0.22938479146543636</v>
      </c>
      <c r="AU23" s="30">
        <f t="shared" si="2"/>
        <v>0.2392006957924393</v>
      </c>
      <c r="AV23" s="30">
        <f t="shared" si="2"/>
        <v>0.24337039516919851</v>
      </c>
      <c r="AW23" s="30">
        <f t="shared" si="2"/>
        <v>0.21382655451862795</v>
      </c>
      <c r="AX23" s="30">
        <f t="shared" si="2"/>
        <v>0.22859847484391321</v>
      </c>
      <c r="AY23" s="30">
        <f t="shared" si="2"/>
        <v>0.23334584387679011</v>
      </c>
      <c r="AZ23" s="30">
        <f t="shared" si="2"/>
        <v>0.2255027924007767</v>
      </c>
      <c r="BA23" s="30">
        <f t="shared" si="2"/>
        <v>0.22942431813878342</v>
      </c>
    </row>
    <row r="24" spans="2:53" ht="15.75">
      <c r="B24" s="12" t="s">
        <v>30</v>
      </c>
      <c r="C24" s="28">
        <v>-0.11481917657391766</v>
      </c>
      <c r="D24" s="28">
        <v>-0.14936556230222719</v>
      </c>
      <c r="E24" s="28">
        <v>-0.1326067799391776</v>
      </c>
      <c r="F24" s="28">
        <v>-0.11689824222409113</v>
      </c>
      <c r="G24" s="28">
        <v>-0.11749454331356279</v>
      </c>
      <c r="H24" s="28">
        <v>-0.11720109127004583</v>
      </c>
      <c r="I24" s="28">
        <v>-0.10696738203026118</v>
      </c>
      <c r="J24" s="28">
        <v>-9.0773378723723305E-2</v>
      </c>
      <c r="K24" s="28">
        <v>-9.8639460854472588E-2</v>
      </c>
      <c r="L24" s="28">
        <v>-0.10689023834650589</v>
      </c>
      <c r="M24" s="28">
        <v>-7.9682360554144141E-2</v>
      </c>
      <c r="N24" s="28">
        <v>-9.2743044186956725E-2</v>
      </c>
      <c r="O24" s="28">
        <v>-9.2358392611007201E-2</v>
      </c>
      <c r="P24" s="28">
        <v>-8.5774107145609929E-2</v>
      </c>
      <c r="Q24" s="28">
        <v>-8.9005033197019148E-2</v>
      </c>
      <c r="R24" s="28">
        <v>-8.0779851540849379E-2</v>
      </c>
      <c r="S24" s="28">
        <v>-0.13347490305835963</v>
      </c>
      <c r="T24" s="28">
        <v>-0.10797671247663906</v>
      </c>
      <c r="U24" s="28">
        <v>-0.12481242653739454</v>
      </c>
      <c r="V24" s="28">
        <v>-0.14905540249873478</v>
      </c>
      <c r="W24" s="28">
        <v>-0.13663688253047099</v>
      </c>
      <c r="X24" s="28">
        <v>-0.15618238666777773</v>
      </c>
      <c r="Y24" s="28">
        <v>-0.12702306620625256</v>
      </c>
      <c r="Z24" s="28">
        <v>-0.14127337091865713</v>
      </c>
      <c r="AA24" s="28">
        <v>-0.15827996569704364</v>
      </c>
      <c r="AB24" s="28">
        <v>-0.1650276717540744</v>
      </c>
      <c r="AC24" s="28">
        <v>-0.16182943469901528</v>
      </c>
      <c r="AD24" s="28">
        <v>-0.11577463392411952</v>
      </c>
      <c r="AE24" s="28">
        <v>-0.12310457421183184</v>
      </c>
      <c r="AF24" s="28">
        <v>-0.11955104139988525</v>
      </c>
      <c r="AG24" s="29">
        <v>-8.5872993752715107E-2</v>
      </c>
      <c r="AH24" s="29">
        <v>-0.12896534383078345</v>
      </c>
      <c r="AI24" s="29">
        <v>-0.10811117985723813</v>
      </c>
      <c r="AJ24" s="30">
        <f t="shared" si="3"/>
        <v>-9.3027633235221383E-2</v>
      </c>
      <c r="AK24" s="30">
        <f t="shared" si="2"/>
        <v>-7.4218415448149333E-2</v>
      </c>
      <c r="AL24" s="30">
        <f t="shared" si="2"/>
        <v>-8.3344978076517584E-2</v>
      </c>
      <c r="AM24" s="30">
        <f t="shared" si="2"/>
        <v>-7.6277457795337927E-2</v>
      </c>
      <c r="AN24" s="30">
        <f t="shared" si="2"/>
        <v>-9.07243397178185E-2</v>
      </c>
      <c r="AO24" s="30">
        <f t="shared" si="2"/>
        <v>-8.3398712072667039E-2</v>
      </c>
      <c r="AP24" s="30">
        <f t="shared" si="2"/>
        <v>-7.6397445171751385E-2</v>
      </c>
      <c r="AQ24" s="30">
        <f t="shared" si="2"/>
        <v>-5.7006080976511712E-2</v>
      </c>
      <c r="AR24" s="30">
        <f t="shared" si="2"/>
        <v>-6.6701763074131545E-2</v>
      </c>
      <c r="AS24" s="30">
        <f t="shared" si="2"/>
        <v>-7.4976529186391458E-2</v>
      </c>
      <c r="AT24" s="30">
        <f t="shared" si="2"/>
        <v>-4.4523113539589459E-2</v>
      </c>
      <c r="AU24" s="30">
        <f t="shared" si="2"/>
        <v>-5.9749821362990459E-2</v>
      </c>
      <c r="AV24" s="30">
        <f t="shared" si="2"/>
        <v>-6.6992715204740774E-2</v>
      </c>
      <c r="AW24" s="30">
        <f t="shared" si="2"/>
        <v>-2.6508631584148182E-2</v>
      </c>
      <c r="AX24" s="30">
        <f t="shared" si="2"/>
        <v>-4.6750673394444477E-2</v>
      </c>
      <c r="AY24" s="30">
        <f t="shared" si="2"/>
        <v>-5.5143823009935471E-2</v>
      </c>
      <c r="AZ24" s="30">
        <f t="shared" si="2"/>
        <v>-3.6278317466395746E-2</v>
      </c>
      <c r="BA24" s="30">
        <f t="shared" si="2"/>
        <v>-4.5711070238165626E-2</v>
      </c>
    </row>
    <row r="25" spans="2:53"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</row>
    <row r="26" spans="2:53" ht="15" thickBot="1">
      <c r="B26" s="110" t="s">
        <v>109</v>
      </c>
    </row>
    <row r="27" spans="2:53" ht="15.75" thickTop="1" thickBot="1">
      <c r="B27" s="109" t="s">
        <v>114</v>
      </c>
      <c r="AA27" s="31" t="str">
        <f>+AA6</f>
        <v>Jul-Dec</v>
      </c>
      <c r="AB27" s="31" t="str">
        <f>+AB6</f>
        <v>Jan-Jun</v>
      </c>
      <c r="AC27" s="32" t="str">
        <f>+AC5</f>
        <v>2021/2022</v>
      </c>
      <c r="AD27" s="31" t="str">
        <f>+AD6</f>
        <v>Jul-Dec</v>
      </c>
      <c r="AE27" s="31" t="str">
        <f>+AE6</f>
        <v>Jan-Jun</v>
      </c>
      <c r="AF27" s="32" t="str">
        <f>+AF5</f>
        <v>2022/2023</v>
      </c>
      <c r="AG27" s="31" t="str">
        <f>+AG6</f>
        <v>Jul-Dec</v>
      </c>
      <c r="AH27" s="31" t="str">
        <f>+AH6</f>
        <v>Jan-Jun</v>
      </c>
      <c r="AI27" s="32" t="str">
        <f>+AI5</f>
        <v>2023/2024</v>
      </c>
      <c r="AJ27" s="31" t="str">
        <f>+AJ6</f>
        <v>Jul-Dec</v>
      </c>
      <c r="AK27" s="31" t="str">
        <f>+AK6</f>
        <v>Jan-Jun</v>
      </c>
      <c r="AL27" s="32" t="str">
        <f>+AL5</f>
        <v>2024/2025</v>
      </c>
      <c r="AM27" s="33" t="str">
        <f>+AM6</f>
        <v>Jul-Dec</v>
      </c>
      <c r="AN27" s="33" t="str">
        <f>+AN6</f>
        <v>Jan-Jun</v>
      </c>
      <c r="AO27" s="32" t="str">
        <f>+AO5</f>
        <v>2025/2026</v>
      </c>
      <c r="AP27" s="33" t="str">
        <f>+AP6</f>
        <v>Jul-Dec</v>
      </c>
      <c r="AQ27" s="33" t="str">
        <f>+AQ6</f>
        <v>Jan-Jun</v>
      </c>
      <c r="AR27" s="32" t="str">
        <f>+AR5</f>
        <v>2026/2027</v>
      </c>
      <c r="AS27" s="33" t="str">
        <f>+AS6</f>
        <v>Jul-Dec</v>
      </c>
      <c r="AT27" s="33" t="str">
        <f>+AT6</f>
        <v>Jan-Jun</v>
      </c>
      <c r="AU27" s="32" t="str">
        <f>+AU5</f>
        <v>2027/2028</v>
      </c>
      <c r="AV27" s="33" t="str">
        <f>+AV6</f>
        <v>Jul-Dec</v>
      </c>
      <c r="AW27" s="33" t="str">
        <f>+AW6</f>
        <v>Jan-Jun</v>
      </c>
      <c r="AX27" s="32" t="str">
        <f>+AX5</f>
        <v>2028/2029</v>
      </c>
      <c r="AY27" s="33" t="str">
        <f>+AY6</f>
        <v>Jul-Dec</v>
      </c>
      <c r="AZ27" s="33" t="str">
        <f>+AZ6</f>
        <v>Jan-Jun</v>
      </c>
      <c r="BA27" s="32" t="str">
        <f>+BA5</f>
        <v>2029/2030</v>
      </c>
    </row>
    <row r="28" spans="2:53" ht="16.5" thickTop="1">
      <c r="B28" s="35" t="str">
        <f>+B24</f>
        <v>Deficit (Excl. Grants ) % of GDP</v>
      </c>
      <c r="AA28" s="36">
        <f t="shared" ref="AA28:AB28" si="4">+AA24</f>
        <v>-0.15827996569704364</v>
      </c>
      <c r="AB28" s="36">
        <f t="shared" si="4"/>
        <v>-0.1650276717540744</v>
      </c>
      <c r="AC28" s="64">
        <f>+AC24</f>
        <v>-0.16182943469901528</v>
      </c>
      <c r="AD28" s="36">
        <f t="shared" ref="AD28:AE28" si="5">+AD24</f>
        <v>-0.11577463392411952</v>
      </c>
      <c r="AE28" s="36">
        <f t="shared" si="5"/>
        <v>-0.12310457421183184</v>
      </c>
      <c r="AF28" s="64">
        <f>+AF24</f>
        <v>-0.11955104139988525</v>
      </c>
      <c r="AG28" s="36">
        <f t="shared" ref="AG28:AH28" si="6">+AG24</f>
        <v>-8.5872993752715107E-2</v>
      </c>
      <c r="AH28" s="36">
        <f t="shared" si="6"/>
        <v>-0.12896534383078345</v>
      </c>
      <c r="AI28" s="64">
        <f>+AI24</f>
        <v>-0.10811117985723813</v>
      </c>
      <c r="AJ28" s="36">
        <f t="shared" ref="AJ28:AK28" si="7">+AJ24</f>
        <v>-9.3027633235221383E-2</v>
      </c>
      <c r="AK28" s="36">
        <f t="shared" si="7"/>
        <v>-7.4218415448149333E-2</v>
      </c>
      <c r="AL28" s="64">
        <f>+AL24</f>
        <v>-8.3344978076517584E-2</v>
      </c>
      <c r="AM28" s="36">
        <f t="shared" ref="AM28:BA28" si="8">+AM24</f>
        <v>-7.6277457795337927E-2</v>
      </c>
      <c r="AN28" s="36">
        <f t="shared" si="8"/>
        <v>-9.07243397178185E-2</v>
      </c>
      <c r="AO28" s="64">
        <f t="shared" si="8"/>
        <v>-8.3398712072667039E-2</v>
      </c>
      <c r="AP28" s="36">
        <f t="shared" si="8"/>
        <v>-7.6397445171751385E-2</v>
      </c>
      <c r="AQ28" s="36">
        <f t="shared" si="8"/>
        <v>-5.7006080976511712E-2</v>
      </c>
      <c r="AR28" s="64">
        <f t="shared" si="8"/>
        <v>-6.6701763074131545E-2</v>
      </c>
      <c r="AS28" s="36">
        <f t="shared" si="8"/>
        <v>-7.4976529186391458E-2</v>
      </c>
      <c r="AT28" s="36">
        <f t="shared" si="8"/>
        <v>-4.4523113539589459E-2</v>
      </c>
      <c r="AU28" s="64">
        <f t="shared" si="8"/>
        <v>-5.9749821362990459E-2</v>
      </c>
      <c r="AV28" s="36">
        <f t="shared" si="8"/>
        <v>-6.6992715204740774E-2</v>
      </c>
      <c r="AW28" s="36">
        <f t="shared" si="8"/>
        <v>-2.6508631584148182E-2</v>
      </c>
      <c r="AX28" s="64">
        <f t="shared" si="8"/>
        <v>-4.6750673394444477E-2</v>
      </c>
      <c r="AY28" s="36">
        <f t="shared" si="8"/>
        <v>-5.5143823009935471E-2</v>
      </c>
      <c r="AZ28" s="36">
        <f t="shared" si="8"/>
        <v>-3.6278317466395746E-2</v>
      </c>
      <c r="BA28" s="64">
        <f t="shared" si="8"/>
        <v>-4.5711070238165626E-2</v>
      </c>
    </row>
    <row r="29" spans="2:53" ht="14.5">
      <c r="B29" s="77" t="s">
        <v>65</v>
      </c>
      <c r="AM29" s="37">
        <f>AM35-AM42-AM49</f>
        <v>0</v>
      </c>
      <c r="AN29" s="37">
        <f t="shared" ref="AN29:BA29" si="9">AN35-AN42-AN49</f>
        <v>0</v>
      </c>
      <c r="AO29" s="37">
        <f t="shared" si="9"/>
        <v>0</v>
      </c>
      <c r="AP29" s="37">
        <f t="shared" si="9"/>
        <v>1.2E-2</v>
      </c>
      <c r="AQ29" s="37">
        <f t="shared" si="9"/>
        <v>-1.2E-2</v>
      </c>
      <c r="AR29" s="37">
        <f t="shared" si="9"/>
        <v>0</v>
      </c>
      <c r="AS29" s="37">
        <f t="shared" si="9"/>
        <v>1.3000000000000001E-2</v>
      </c>
      <c r="AT29" s="37">
        <f t="shared" si="9"/>
        <v>-1.3000000000000001E-2</v>
      </c>
      <c r="AU29" s="37">
        <f t="shared" si="9"/>
        <v>0</v>
      </c>
      <c r="AV29" s="37">
        <f t="shared" si="9"/>
        <v>2.4E-2</v>
      </c>
      <c r="AW29" s="37">
        <f t="shared" si="9"/>
        <v>-2.4E-2</v>
      </c>
      <c r="AX29" s="37">
        <f t="shared" si="9"/>
        <v>0</v>
      </c>
      <c r="AY29" s="37">
        <f t="shared" si="9"/>
        <v>1.2E-2</v>
      </c>
      <c r="AZ29" s="37">
        <f t="shared" si="9"/>
        <v>-1.2E-2</v>
      </c>
      <c r="BA29" s="37">
        <f t="shared" si="9"/>
        <v>0</v>
      </c>
    </row>
    <row r="30" spans="2:53" ht="15" thickBot="1">
      <c r="B30" s="38" t="s">
        <v>38</v>
      </c>
      <c r="AM30" s="39">
        <f>+AM28+AM29</f>
        <v>-7.6277457795337927E-2</v>
      </c>
      <c r="AN30" s="39">
        <f t="shared" ref="AN30:BA30" si="10">+AN28+AN29</f>
        <v>-9.07243397178185E-2</v>
      </c>
      <c r="AO30" s="39">
        <f t="shared" si="10"/>
        <v>-8.3398712072667039E-2</v>
      </c>
      <c r="AP30" s="39">
        <f t="shared" si="10"/>
        <v>-6.4397445171751388E-2</v>
      </c>
      <c r="AQ30" s="39">
        <f t="shared" si="10"/>
        <v>-6.9006080976511716E-2</v>
      </c>
      <c r="AR30" s="39">
        <f t="shared" si="10"/>
        <v>-6.6701763074131545E-2</v>
      </c>
      <c r="AS30" s="39">
        <f t="shared" si="10"/>
        <v>-6.197652918639146E-2</v>
      </c>
      <c r="AT30" s="39">
        <f t="shared" si="10"/>
        <v>-5.7523113539589457E-2</v>
      </c>
      <c r="AU30" s="39">
        <f t="shared" si="10"/>
        <v>-5.9749821362990459E-2</v>
      </c>
      <c r="AV30" s="39">
        <f t="shared" si="10"/>
        <v>-4.2992715204740774E-2</v>
      </c>
      <c r="AW30" s="39">
        <f t="shared" si="10"/>
        <v>-5.0508631584148186E-2</v>
      </c>
      <c r="AX30" s="39">
        <f t="shared" si="10"/>
        <v>-4.6750673394444477E-2</v>
      </c>
      <c r="AY30" s="39">
        <f t="shared" si="10"/>
        <v>-4.3143823009935467E-2</v>
      </c>
      <c r="AZ30" s="39">
        <f t="shared" si="10"/>
        <v>-4.8278317466395743E-2</v>
      </c>
      <c r="BA30" s="39">
        <f t="shared" si="10"/>
        <v>-4.5711070238165626E-2</v>
      </c>
    </row>
    <row r="31" spans="2:53" ht="15" thickTop="1">
      <c r="B31" t="s">
        <v>39</v>
      </c>
      <c r="AM31" s="40">
        <f>+AM37-AM44-AM51</f>
        <v>-7.6277457795337969E-2</v>
      </c>
      <c r="AN31" s="41">
        <f>+AN37-AN44-AN51</f>
        <v>-9.6640500522892761E-2</v>
      </c>
      <c r="AO31" s="42"/>
      <c r="AP31" s="43">
        <f>+AP37-AP44-AP51</f>
        <v>-6.4339094794746796E-2</v>
      </c>
      <c r="AQ31" s="41">
        <f>+AQ37-AQ44-AQ51</f>
        <v>-7.105824249974832E-2</v>
      </c>
      <c r="AR31" s="42"/>
      <c r="AS31" s="43">
        <f>+AS37-AS44-AS51</f>
        <v>-6.2343443876518197E-2</v>
      </c>
      <c r="AT31" s="41">
        <f>+AT37-AT44-AT51</f>
        <v>-6.0011635222512322E-2</v>
      </c>
      <c r="AU31" s="42"/>
      <c r="AV31" s="43">
        <f>+AV37-AV44-AV51</f>
        <v>-4.4797238926274401E-2</v>
      </c>
      <c r="AW31" s="41">
        <f>+AW37-AW44-AW51</f>
        <v>-5.1153398275703831E-2</v>
      </c>
      <c r="AX31" s="42"/>
      <c r="AY31" s="43">
        <f>+AY37-AY44-AY51</f>
        <v>-4.4072687633866001E-2</v>
      </c>
      <c r="AZ31" s="41">
        <f>+AZ37-AZ44-AZ51</f>
        <v>-4.9229636157852676E-2</v>
      </c>
      <c r="BA31" s="85"/>
    </row>
    <row r="32" spans="2:53" ht="15" thickBot="1">
      <c r="B32" t="s">
        <v>40</v>
      </c>
      <c r="AM32" s="45">
        <f>+AM38-AM45-AM52</f>
        <v>-7.6277457795337969E-2</v>
      </c>
      <c r="AN32" s="46">
        <f>+AN38-AN45-AN52</f>
        <v>-8.7340500522892758E-2</v>
      </c>
      <c r="AO32" s="47" t="str">
        <f>IF(ABS(AVERAGE(AM31:AN32)-AO30)&gt;0.001,"check","")</f>
        <v/>
      </c>
      <c r="AP32" s="48">
        <f>+AP38-AP45-AP52</f>
        <v>-6.4339094794746796E-2</v>
      </c>
      <c r="AQ32" s="46">
        <f>+AQ38-AQ45-AQ52</f>
        <v>-6.7058242499748316E-2</v>
      </c>
      <c r="AR32" s="47" t="str">
        <f>IF(ABS(AVERAGE(AP31:AQ32)-AR30)&gt;0.001,"check","")</f>
        <v/>
      </c>
      <c r="AS32" s="48">
        <f>+AS38-AS45-AS52</f>
        <v>-6.1343443876518196E-2</v>
      </c>
      <c r="AT32" s="46">
        <f>+AT38-AT45-AT52</f>
        <v>-5.8311635222512315E-2</v>
      </c>
      <c r="AU32" s="86" t="str">
        <f>IF(ABS(AVERAGE(AS31:AT32)-AU30)&gt;0.001,"check","")</f>
        <v/>
      </c>
      <c r="AV32" s="48">
        <f>+AV38-AV45-AV52</f>
        <v>-4.2797238926274399E-2</v>
      </c>
      <c r="AW32" s="46">
        <f>+AW38-AW45-AW52</f>
        <v>-4.905339827570384E-2</v>
      </c>
      <c r="AX32" s="47" t="str">
        <f>IF(ABS(AVERAGE(AV31:AW32)-AX30)&gt;0.001,"check","")</f>
        <v/>
      </c>
      <c r="AY32" s="48">
        <f>+AY38-AY45-AY52</f>
        <v>-4.2572687633865999E-2</v>
      </c>
      <c r="AZ32" s="46">
        <f>+AZ38-AZ45-AZ52</f>
        <v>-4.7729636157852674E-2</v>
      </c>
      <c r="BA32" s="87" t="str">
        <f>IF(ABS(AVERAGE(AY31:AZ32)-BA30)&gt;0.001,"check","")</f>
        <v/>
      </c>
    </row>
    <row r="33" spans="2:53" ht="15" thickTop="1"/>
    <row r="34" spans="2:53" ht="16.5" customHeight="1">
      <c r="B34" s="49" t="str">
        <f>+B18</f>
        <v>Grev in % of GDP</v>
      </c>
      <c r="AA34" s="13">
        <f t="shared" ref="AA34:AI34" si="11">+AA18</f>
        <v>0.18499879331353064</v>
      </c>
      <c r="AB34" s="13">
        <f t="shared" si="11"/>
        <v>0.19455050781832242</v>
      </c>
      <c r="AC34" s="82">
        <f t="shared" si="11"/>
        <v>0.1900232437362214</v>
      </c>
      <c r="AD34" s="13">
        <f t="shared" si="11"/>
        <v>0.16957248940038488</v>
      </c>
      <c r="AE34" s="13">
        <f t="shared" si="11"/>
        <v>0.18162831594071996</v>
      </c>
      <c r="AF34" s="82">
        <f t="shared" si="11"/>
        <v>0.17578368781216153</v>
      </c>
      <c r="AG34" s="13">
        <f t="shared" si="11"/>
        <v>0.16526347412062087</v>
      </c>
      <c r="AH34" s="13">
        <f t="shared" si="11"/>
        <v>0.16710386784884937</v>
      </c>
      <c r="AI34" s="82">
        <f t="shared" si="11"/>
        <v>0.16621322548390918</v>
      </c>
      <c r="AJ34" s="13">
        <f t="shared" ref="AJ34:BA34" si="12">+AJ18</f>
        <v>0.17084367252697466</v>
      </c>
      <c r="AK34" s="13">
        <f t="shared" si="12"/>
        <v>0.16038579984665441</v>
      </c>
      <c r="AL34" s="82">
        <f t="shared" si="12"/>
        <v>0.16546014323811883</v>
      </c>
      <c r="AM34" s="13">
        <f t="shared" si="12"/>
        <v>0.16307315624292407</v>
      </c>
      <c r="AN34" s="13">
        <f t="shared" si="12"/>
        <v>0.1782893170479983</v>
      </c>
      <c r="AO34" s="82">
        <f t="shared" si="12"/>
        <v>0.17068123664546117</v>
      </c>
      <c r="AP34" s="13">
        <f t="shared" si="12"/>
        <v>0.17061480586591948</v>
      </c>
      <c r="AQ34" s="13">
        <f t="shared" si="12"/>
        <v>0.18072531776616066</v>
      </c>
      <c r="AR34" s="82">
        <f t="shared" si="12"/>
        <v>0.17567006181604009</v>
      </c>
      <c r="AS34" s="13">
        <f t="shared" si="12"/>
        <v>0.17404007093305077</v>
      </c>
      <c r="AT34" s="13">
        <f t="shared" si="12"/>
        <v>0.18486167792584693</v>
      </c>
      <c r="AU34" s="82">
        <f t="shared" si="12"/>
        <v>0.17945087442944885</v>
      </c>
      <c r="AV34" s="13">
        <f t="shared" si="12"/>
        <v>0.17637767996445769</v>
      </c>
      <c r="AW34" s="13">
        <f t="shared" si="12"/>
        <v>0.18731792293447977</v>
      </c>
      <c r="AX34" s="82">
        <f t="shared" si="12"/>
        <v>0.18184780144946874</v>
      </c>
      <c r="AY34" s="13">
        <f t="shared" si="12"/>
        <v>0.17820202086685463</v>
      </c>
      <c r="AZ34" s="13">
        <f t="shared" si="12"/>
        <v>0.18922447493438097</v>
      </c>
      <c r="BA34" s="82">
        <f t="shared" si="12"/>
        <v>0.1837132479006178</v>
      </c>
    </row>
    <row r="35" spans="2:53" ht="16.5" customHeight="1">
      <c r="B35" s="77" t="str">
        <f>+B42</f>
        <v xml:space="preserve">correction </v>
      </c>
      <c r="AJ35" s="13"/>
      <c r="AK35" s="13"/>
      <c r="AL35" s="13"/>
      <c r="AM35" s="37"/>
      <c r="AN35" s="37">
        <f>-AM35</f>
        <v>0</v>
      </c>
      <c r="AO35" s="37">
        <f>+AM35+AN35</f>
        <v>0</v>
      </c>
      <c r="AP35" s="78">
        <v>2E-3</v>
      </c>
      <c r="AQ35" s="78">
        <f>-AP35</f>
        <v>-2E-3</v>
      </c>
      <c r="AR35" s="37">
        <f>+AP35+AQ35</f>
        <v>0</v>
      </c>
      <c r="AS35" s="78">
        <v>3.0000000000000001E-3</v>
      </c>
      <c r="AT35" s="78">
        <f>-AS35</f>
        <v>-3.0000000000000001E-3</v>
      </c>
      <c r="AU35" s="37">
        <f>+AS35+AT35</f>
        <v>0</v>
      </c>
      <c r="AV35" s="78">
        <v>4.0000000000000001E-3</v>
      </c>
      <c r="AW35" s="78">
        <f>-AV35</f>
        <v>-4.0000000000000001E-3</v>
      </c>
      <c r="AX35" s="37">
        <f>+AV35+AW35</f>
        <v>0</v>
      </c>
      <c r="AY35" s="78">
        <v>4.0000000000000001E-3</v>
      </c>
      <c r="AZ35" s="78">
        <f>-AY35</f>
        <v>-4.0000000000000001E-3</v>
      </c>
      <c r="BA35" s="37">
        <f>+AY35+AZ35</f>
        <v>0</v>
      </c>
    </row>
    <row r="36" spans="2:53" ht="16.5" customHeight="1" thickBot="1">
      <c r="B36" s="38" t="s">
        <v>57</v>
      </c>
      <c r="AJ36" s="13"/>
      <c r="AK36" s="13"/>
      <c r="AL36" s="13"/>
      <c r="AM36" s="39">
        <f>+AM34+AM35</f>
        <v>0.16307315624292407</v>
      </c>
      <c r="AN36" s="39">
        <f t="shared" ref="AN36:AO36" si="13">+AN34+AN35</f>
        <v>0.1782893170479983</v>
      </c>
      <c r="AO36" s="39">
        <f t="shared" si="13"/>
        <v>0.17068123664546117</v>
      </c>
      <c r="AP36" s="39">
        <f>+AP34+AP35</f>
        <v>0.17261480586591949</v>
      </c>
      <c r="AQ36" s="39">
        <f t="shared" ref="AQ36:AR36" si="14">+AQ34+AQ35</f>
        <v>0.17872531776616066</v>
      </c>
      <c r="AR36" s="39">
        <f t="shared" si="14"/>
        <v>0.17567006181604009</v>
      </c>
      <c r="AS36" s="39">
        <f>+AS34+AS35</f>
        <v>0.17704007093305077</v>
      </c>
      <c r="AT36" s="39">
        <f t="shared" ref="AT36:AU36" si="15">+AT34+AT35</f>
        <v>0.18186167792584693</v>
      </c>
      <c r="AU36" s="39">
        <f t="shared" si="15"/>
        <v>0.17945087442944885</v>
      </c>
      <c r="AV36" s="39">
        <f>+AV34+AV35</f>
        <v>0.18037767996445769</v>
      </c>
      <c r="AW36" s="39">
        <f t="shared" ref="AW36:AX36" si="16">+AW34+AW35</f>
        <v>0.18331792293447977</v>
      </c>
      <c r="AX36" s="39">
        <f t="shared" si="16"/>
        <v>0.18184780144946874</v>
      </c>
      <c r="AY36" s="39">
        <f>+AY34+AY35</f>
        <v>0.18220202086685464</v>
      </c>
      <c r="AZ36" s="39">
        <f t="shared" ref="AZ36:BA36" si="17">+AZ34+AZ35</f>
        <v>0.18522447493438096</v>
      </c>
      <c r="BA36" s="39">
        <f t="shared" si="17"/>
        <v>0.1837132479006178</v>
      </c>
    </row>
    <row r="37" spans="2:53" ht="15" thickTop="1">
      <c r="B37" t="s">
        <v>41</v>
      </c>
      <c r="AJ37" s="50"/>
      <c r="AK37" s="50"/>
      <c r="AL37" s="50"/>
      <c r="AM37" s="40">
        <f>+AM36</f>
        <v>0.16307315624292407</v>
      </c>
      <c r="AN37" s="41">
        <f>+AM38+AN39</f>
        <v>0.17237315624292407</v>
      </c>
      <c r="AO37" s="43"/>
      <c r="AP37" s="43">
        <f>+AN38-0.009</f>
        <v>0.17267315624292406</v>
      </c>
      <c r="AQ37" s="41">
        <f>+AP38+AQ39</f>
        <v>0.17667315624292407</v>
      </c>
      <c r="AR37" s="43"/>
      <c r="AS37" s="43">
        <f>+AQ38-0.004</f>
        <v>0.17667315624292407</v>
      </c>
      <c r="AT37" s="41">
        <f>+AS38+AT39</f>
        <v>0.17937315624292408</v>
      </c>
      <c r="AU37" s="43"/>
      <c r="AV37" s="43">
        <f>+AT38-0.0025</f>
        <v>0.17857315624292408</v>
      </c>
      <c r="AW37" s="41">
        <f>+AV38+AW39</f>
        <v>0.18267315624292407</v>
      </c>
      <c r="AX37" s="43"/>
      <c r="AY37" s="43">
        <f>+AW38-0.0035</f>
        <v>0.18127315624292406</v>
      </c>
      <c r="AZ37" s="41">
        <f>+AY38+AZ39</f>
        <v>0.18427315624292406</v>
      </c>
      <c r="BA37" s="88"/>
    </row>
    <row r="38" spans="2:53" ht="15" thickBot="1">
      <c r="B38" t="s">
        <v>42</v>
      </c>
      <c r="AJ38" s="50"/>
      <c r="AK38" s="50"/>
      <c r="AL38" s="50"/>
      <c r="AM38" s="45">
        <f>+AM36+AM39</f>
        <v>0.16307315624292407</v>
      </c>
      <c r="AN38" s="46">
        <f>+AN37+AN39</f>
        <v>0.18167315624292407</v>
      </c>
      <c r="AO38" s="47" t="str">
        <f>IF(ABS(AVERAGE(AM37:AN38)-AO36)&gt;0.001,"check","")</f>
        <v/>
      </c>
      <c r="AP38" s="48">
        <f>+AP37+AP39</f>
        <v>0.17267315624292406</v>
      </c>
      <c r="AQ38" s="46">
        <f>+AQ37+AQ39</f>
        <v>0.18067315624292407</v>
      </c>
      <c r="AR38" s="47" t="str">
        <f>IF(ABS(AVERAGE(AP37:AQ38)-AR36)&gt;0.001,"check","")</f>
        <v/>
      </c>
      <c r="AS38" s="48">
        <f>+AS37+AS39</f>
        <v>0.17767315624292407</v>
      </c>
      <c r="AT38" s="46">
        <f>+AT37+AT39</f>
        <v>0.18107315624292408</v>
      </c>
      <c r="AU38" s="86" t="str">
        <f>IF(ABS(AVERAGE(AS37:AT38)-AU36)&gt;0.001,"check","")</f>
        <v/>
      </c>
      <c r="AV38" s="48">
        <f>+AV37+AV39</f>
        <v>0.18057315624292408</v>
      </c>
      <c r="AW38" s="46">
        <f>+AW37+AW39</f>
        <v>0.18477315624292406</v>
      </c>
      <c r="AX38" s="47" t="str">
        <f>IF(ABS(AVERAGE(AV37:AW38)-AX36)&gt;0.001,"check","")</f>
        <v/>
      </c>
      <c r="AY38" s="48">
        <f>+AY37+AY39</f>
        <v>0.18277315624292406</v>
      </c>
      <c r="AZ38" s="46">
        <f>+AZ37+AZ39</f>
        <v>0.18577315624292406</v>
      </c>
      <c r="BA38" s="87" t="str">
        <f>IF(ABS(AVERAGE(AY37:AZ38)-BA36)&gt;0.001,"check","")</f>
        <v/>
      </c>
    </row>
    <row r="39" spans="2:53" ht="15" thickTop="1">
      <c r="AJ39" s="50"/>
      <c r="AK39" s="50"/>
      <c r="AL39" s="50"/>
      <c r="AM39" s="50">
        <v>0</v>
      </c>
      <c r="AN39" s="50">
        <v>9.2999999999999992E-3</v>
      </c>
      <c r="AO39" s="50">
        <f>+AVERAGE(AM37:AN38)</f>
        <v>0.17004815624292408</v>
      </c>
      <c r="AP39" s="50">
        <v>0</v>
      </c>
      <c r="AQ39" s="50">
        <v>4.0000000000000001E-3</v>
      </c>
      <c r="AR39" s="50">
        <f>+AVERAGE(AP37:AQ38)</f>
        <v>0.17567315624292407</v>
      </c>
      <c r="AS39" s="50">
        <v>1E-3</v>
      </c>
      <c r="AT39" s="50">
        <v>1.6999999999999999E-3</v>
      </c>
      <c r="AU39" s="50">
        <f>+AVERAGE(AS37:AT38)</f>
        <v>0.17869815624292409</v>
      </c>
      <c r="AV39" s="50">
        <v>2E-3</v>
      </c>
      <c r="AW39" s="50">
        <v>2.0999999999999999E-3</v>
      </c>
      <c r="AX39" s="50">
        <f>+AVERAGE(AV37:AW38)</f>
        <v>0.18164815624292407</v>
      </c>
      <c r="AY39" s="50">
        <v>1.5E-3</v>
      </c>
      <c r="AZ39" s="50">
        <v>1.5E-3</v>
      </c>
      <c r="BA39" s="50">
        <f>+AVERAGE(AY37:AZ38)</f>
        <v>0.18352315624292409</v>
      </c>
    </row>
    <row r="40" spans="2:53">
      <c r="AJ40" s="50"/>
      <c r="AK40" s="50"/>
      <c r="AL40" s="50"/>
      <c r="AM40" s="50"/>
      <c r="AN40" s="50"/>
      <c r="AO40" s="50"/>
      <c r="AP40" s="50"/>
      <c r="AQ40" s="50"/>
      <c r="AR40" s="50"/>
      <c r="AS40" s="50"/>
      <c r="AT40" s="50"/>
      <c r="AU40" s="50"/>
      <c r="AV40" s="50"/>
      <c r="AW40" s="50"/>
      <c r="AX40" s="50"/>
      <c r="AY40" s="50"/>
      <c r="AZ40" s="50"/>
      <c r="BA40" s="50"/>
    </row>
    <row r="41" spans="2:53" ht="15.5" customHeight="1">
      <c r="B41" s="49" t="str">
        <f>+B19</f>
        <v>Gdem in % of GDP</v>
      </c>
      <c r="AA41" s="13">
        <f t="shared" ref="AA41:AI41" si="18">+AA19</f>
        <v>0.27753284495082398</v>
      </c>
      <c r="AB41" s="13">
        <f t="shared" si="18"/>
        <v>0.28940104091388846</v>
      </c>
      <c r="AC41" s="82">
        <f t="shared" si="18"/>
        <v>0.28377582490937286</v>
      </c>
      <c r="AD41" s="13">
        <f t="shared" si="18"/>
        <v>0.23014236182991465</v>
      </c>
      <c r="AE41" s="13">
        <f t="shared" si="18"/>
        <v>0.25642373092229626</v>
      </c>
      <c r="AF41" s="82">
        <f t="shared" si="18"/>
        <v>0.24368260292576732</v>
      </c>
      <c r="AG41" s="13">
        <f t="shared" si="18"/>
        <v>0.20574123708248424</v>
      </c>
      <c r="AH41" s="13">
        <f t="shared" si="18"/>
        <v>0.24523429509763753</v>
      </c>
      <c r="AI41" s="82">
        <f t="shared" si="18"/>
        <v>0.22612197687473534</v>
      </c>
      <c r="AJ41" s="13">
        <f t="shared" ref="AJ41:BA41" si="19">+AJ19</f>
        <v>0.21314772338168717</v>
      </c>
      <c r="AK41" s="13">
        <f t="shared" si="19"/>
        <v>0.18865090699938322</v>
      </c>
      <c r="AL41" s="82">
        <f t="shared" si="19"/>
        <v>0.20053719230054018</v>
      </c>
      <c r="AM41" s="13">
        <f t="shared" si="19"/>
        <v>0.18828649942779166</v>
      </c>
      <c r="AN41" s="13">
        <f t="shared" si="19"/>
        <v>0.19110022215069522</v>
      </c>
      <c r="AO41" s="82">
        <f t="shared" si="19"/>
        <v>0.18969336078924343</v>
      </c>
      <c r="AP41" s="13">
        <f t="shared" si="19"/>
        <v>0.18928740330000102</v>
      </c>
      <c r="AQ41" s="13">
        <f t="shared" si="19"/>
        <v>0.18040876655958882</v>
      </c>
      <c r="AR41" s="82">
        <f t="shared" si="19"/>
        <v>0.18484808492979496</v>
      </c>
      <c r="AS41" s="13">
        <f t="shared" si="19"/>
        <v>0.19484990460117188</v>
      </c>
      <c r="AT41" s="13">
        <f t="shared" si="19"/>
        <v>0.18503034888548991</v>
      </c>
      <c r="AU41" s="82">
        <f t="shared" si="19"/>
        <v>0.18994012674333088</v>
      </c>
      <c r="AV41" s="13">
        <f t="shared" si="19"/>
        <v>0.20936618216901065</v>
      </c>
      <c r="AW41" s="13">
        <f t="shared" si="19"/>
        <v>0.17957404570351287</v>
      </c>
      <c r="AX41" s="82">
        <f t="shared" si="19"/>
        <v>0.19447011393626176</v>
      </c>
      <c r="AY41" s="13">
        <f t="shared" si="19"/>
        <v>0.20058474431071402</v>
      </c>
      <c r="AZ41" s="13">
        <f t="shared" si="19"/>
        <v>0.19462159095390191</v>
      </c>
      <c r="BA41" s="82">
        <f t="shared" si="19"/>
        <v>0.19760316763230795</v>
      </c>
    </row>
    <row r="42" spans="2:53">
      <c r="B42" s="51" t="s">
        <v>43</v>
      </c>
      <c r="AJ42" s="52"/>
      <c r="AK42" s="52"/>
      <c r="AL42" s="52"/>
      <c r="AM42" s="78"/>
      <c r="AN42" s="78">
        <f>-AM42</f>
        <v>0</v>
      </c>
      <c r="AO42" s="52">
        <f>+AM42+AN42</f>
        <v>0</v>
      </c>
      <c r="AP42" s="79">
        <v>-0.01</v>
      </c>
      <c r="AQ42" s="79">
        <f>-AP42</f>
        <v>0.01</v>
      </c>
      <c r="AR42" s="52">
        <f>+AP42+AQ42</f>
        <v>0</v>
      </c>
      <c r="AS42" s="78">
        <v>-0.01</v>
      </c>
      <c r="AT42" s="78">
        <f>-AS42</f>
        <v>0.01</v>
      </c>
      <c r="AU42" s="52">
        <f>+AS42+AT42</f>
        <v>0</v>
      </c>
      <c r="AV42" s="78">
        <v>-0.02</v>
      </c>
      <c r="AW42" s="78">
        <f>-AV42</f>
        <v>0.02</v>
      </c>
      <c r="AX42" s="52">
        <f>+AV42+AW42</f>
        <v>0</v>
      </c>
      <c r="AY42" s="78">
        <v>-8.0000000000000002E-3</v>
      </c>
      <c r="AZ42" s="78">
        <f>-AY42</f>
        <v>8.0000000000000002E-3</v>
      </c>
      <c r="BA42" s="52">
        <f>+AY42+AZ42</f>
        <v>0</v>
      </c>
    </row>
    <row r="43" spans="2:53" ht="15" thickBot="1">
      <c r="B43" s="38" t="s">
        <v>66</v>
      </c>
      <c r="AJ43" s="53"/>
      <c r="AK43" s="53"/>
      <c r="AL43" s="53"/>
      <c r="AM43" s="53">
        <f t="shared" ref="AM43:BA43" si="20">+AM41+AM42</f>
        <v>0.18828649942779166</v>
      </c>
      <c r="AN43" s="53">
        <f t="shared" si="20"/>
        <v>0.19110022215069522</v>
      </c>
      <c r="AO43" s="84">
        <f t="shared" si="20"/>
        <v>0.18969336078924343</v>
      </c>
      <c r="AP43" s="53">
        <f t="shared" si="20"/>
        <v>0.17928740330000101</v>
      </c>
      <c r="AQ43" s="53">
        <f t="shared" si="20"/>
        <v>0.19040876655958883</v>
      </c>
      <c r="AR43" s="84">
        <f t="shared" si="20"/>
        <v>0.18484808492979496</v>
      </c>
      <c r="AS43" s="53">
        <f t="shared" si="20"/>
        <v>0.18484990460117187</v>
      </c>
      <c r="AT43" s="53">
        <f t="shared" si="20"/>
        <v>0.19503034888548992</v>
      </c>
      <c r="AU43" s="84">
        <f t="shared" si="20"/>
        <v>0.18994012674333088</v>
      </c>
      <c r="AV43" s="53">
        <f t="shared" si="20"/>
        <v>0.18936618216901066</v>
      </c>
      <c r="AW43" s="53">
        <f t="shared" si="20"/>
        <v>0.19957404570351286</v>
      </c>
      <c r="AX43" s="84">
        <f t="shared" si="20"/>
        <v>0.19447011393626176</v>
      </c>
      <c r="AY43" s="53">
        <f t="shared" si="20"/>
        <v>0.19258474431071401</v>
      </c>
      <c r="AZ43" s="53">
        <f t="shared" si="20"/>
        <v>0.20262159095390192</v>
      </c>
      <c r="BA43" s="84">
        <f t="shared" si="20"/>
        <v>0.19760316763230795</v>
      </c>
    </row>
    <row r="44" spans="2:53" ht="15" thickTop="1">
      <c r="B44" t="s">
        <v>44</v>
      </c>
      <c r="AJ44" s="13"/>
      <c r="AK44" s="13"/>
      <c r="AL44" s="13"/>
      <c r="AM44" s="40">
        <f>+AM43</f>
        <v>0.18828649942779166</v>
      </c>
      <c r="AN44" s="43">
        <f>+AN43</f>
        <v>0.19110022215069522</v>
      </c>
      <c r="AO44" s="41"/>
      <c r="AP44" s="43">
        <f>+AP43</f>
        <v>0.17928740330000101</v>
      </c>
      <c r="AQ44" s="43">
        <f>+AQ43</f>
        <v>0.19040876655958883</v>
      </c>
      <c r="AR44" s="41"/>
      <c r="AS44" s="43">
        <f>+AS43</f>
        <v>0.18484990460117187</v>
      </c>
      <c r="AT44" s="43">
        <f>+AT43</f>
        <v>0.19503034888548992</v>
      </c>
      <c r="AU44" s="41"/>
      <c r="AV44" s="43">
        <f>+AV43</f>
        <v>0.18936618216901066</v>
      </c>
      <c r="AW44" s="43">
        <f>+AW43</f>
        <v>0.19957404570351286</v>
      </c>
      <c r="AX44" s="41"/>
      <c r="AY44" s="43">
        <f>+AY43</f>
        <v>0.19258474431071401</v>
      </c>
      <c r="AZ44" s="43">
        <f>+AZ43</f>
        <v>0.20262159095390192</v>
      </c>
      <c r="BA44" s="44"/>
    </row>
    <row r="45" spans="2:53" ht="15" thickBot="1">
      <c r="B45" t="str">
        <f>+B38</f>
        <v xml:space="preserve">                                                 second Q in sem</v>
      </c>
      <c r="AJ45" s="13"/>
      <c r="AK45" s="13"/>
      <c r="AL45" s="13"/>
      <c r="AM45" s="45">
        <f>+AM43</f>
        <v>0.18828649942779166</v>
      </c>
      <c r="AN45" s="48">
        <f>+AN43</f>
        <v>0.19110022215069522</v>
      </c>
      <c r="AO45" s="47" t="str">
        <f>IF(ABS(AVERAGE(AM44:AN45)-AO43)&gt;0.1,"check","")</f>
        <v/>
      </c>
      <c r="AP45" s="48">
        <f>+AP43</f>
        <v>0.17928740330000101</v>
      </c>
      <c r="AQ45" s="48">
        <f>+AQ43</f>
        <v>0.19040876655958883</v>
      </c>
      <c r="AR45" s="47" t="str">
        <f>IF(ABS(AVERAGE(AP44:AQ45)-AR43)&gt;0.1,"check","")</f>
        <v/>
      </c>
      <c r="AS45" s="48">
        <f>+AS43</f>
        <v>0.18484990460117187</v>
      </c>
      <c r="AT45" s="48">
        <f>+AT43</f>
        <v>0.19503034888548992</v>
      </c>
      <c r="AU45" s="86" t="str">
        <f>IF(ABS(AVERAGE(AS44:AT45)-AU43)&gt;0.1,"check","")</f>
        <v/>
      </c>
      <c r="AV45" s="48">
        <f>+AV43</f>
        <v>0.18936618216901066</v>
      </c>
      <c r="AW45" s="48">
        <f>+AW43</f>
        <v>0.19957404570351286</v>
      </c>
      <c r="AX45" s="47" t="str">
        <f>IF(ABS(AVERAGE(AV44:AW45)-AX43)&gt;0.1,"check","")</f>
        <v/>
      </c>
      <c r="AY45" s="48">
        <f>+AY43</f>
        <v>0.19258474431071401</v>
      </c>
      <c r="AZ45" s="48">
        <f>+AZ43</f>
        <v>0.20262159095390192</v>
      </c>
      <c r="BA45" s="87" t="str">
        <f>IF(ABS(AVERAGE(AY44:AZ45)-BA43)&gt;0.1,"check","")</f>
        <v/>
      </c>
    </row>
    <row r="46" spans="2:53" ht="15" thickTop="1">
      <c r="AJ46" s="13"/>
      <c r="AK46" s="13"/>
      <c r="AL46" s="13"/>
      <c r="AM46" s="13"/>
      <c r="AN46" s="13"/>
      <c r="AO46" s="13"/>
      <c r="AP46" s="13"/>
      <c r="AQ46" s="13"/>
      <c r="AR46" s="13"/>
      <c r="AS46" s="13"/>
      <c r="AT46" s="13"/>
      <c r="AU46" s="13"/>
      <c r="AV46" s="13"/>
      <c r="AW46" s="13"/>
      <c r="AX46" s="13"/>
      <c r="AY46" s="13"/>
      <c r="AZ46" s="13"/>
      <c r="BA46" s="13"/>
    </row>
    <row r="47" spans="2:53" ht="14.5">
      <c r="B47" s="49" t="str">
        <f>+B20</f>
        <v>Other Expenditure of %GDP</v>
      </c>
      <c r="AA47" s="13">
        <f t="shared" ref="AA47:AI47" si="21">+AA20</f>
        <v>6.5745914059750388E-2</v>
      </c>
      <c r="AB47" s="13">
        <f t="shared" si="21"/>
        <v>7.0177138658508359E-2</v>
      </c>
      <c r="AC47" s="82">
        <f t="shared" si="21"/>
        <v>6.8076853525863817E-2</v>
      </c>
      <c r="AD47" s="13">
        <f t="shared" si="21"/>
        <v>5.5204761494589742E-2</v>
      </c>
      <c r="AE47" s="13">
        <f t="shared" si="21"/>
        <v>4.83091592302555E-2</v>
      </c>
      <c r="AF47" s="82">
        <f t="shared" si="21"/>
        <v>5.165212628627943E-2</v>
      </c>
      <c r="AG47" s="13">
        <f t="shared" si="21"/>
        <v>4.5395230790851775E-2</v>
      </c>
      <c r="AH47" s="13">
        <f t="shared" si="21"/>
        <v>5.0834916581995272E-2</v>
      </c>
      <c r="AI47" s="82">
        <f t="shared" si="21"/>
        <v>4.8202428466411949E-2</v>
      </c>
      <c r="AJ47" s="13">
        <f t="shared" ref="AJ47:BA47" si="22">+AJ20</f>
        <v>5.0723582380508878E-2</v>
      </c>
      <c r="AK47" s="13">
        <f t="shared" si="22"/>
        <v>4.595330829542054E-2</v>
      </c>
      <c r="AL47" s="82">
        <f t="shared" si="22"/>
        <v>4.8267929014096267E-2</v>
      </c>
      <c r="AM47" s="13">
        <f t="shared" si="22"/>
        <v>5.1064114610470376E-2</v>
      </c>
      <c r="AN47" s="13">
        <f t="shared" si="22"/>
        <v>7.791343461512161E-2</v>
      </c>
      <c r="AO47" s="82">
        <f t="shared" si="22"/>
        <v>6.4386587928884811E-2</v>
      </c>
      <c r="AP47" s="13">
        <f t="shared" si="22"/>
        <v>5.7724847737669852E-2</v>
      </c>
      <c r="AQ47" s="13">
        <f t="shared" si="22"/>
        <v>5.7322632183083554E-2</v>
      </c>
      <c r="AR47" s="82">
        <f t="shared" si="22"/>
        <v>5.7523739960376706E-2</v>
      </c>
      <c r="AS47" s="13">
        <f t="shared" si="22"/>
        <v>5.4166695518270393E-2</v>
      </c>
      <c r="AT47" s="13">
        <f t="shared" si="22"/>
        <v>4.4354442579946474E-2</v>
      </c>
      <c r="AU47" s="82">
        <f t="shared" si="22"/>
        <v>4.926056904910843E-2</v>
      </c>
      <c r="AV47" s="13">
        <f t="shared" si="22"/>
        <v>3.400421300018782E-2</v>
      </c>
      <c r="AW47" s="13">
        <f t="shared" si="22"/>
        <v>3.4252508815115039E-2</v>
      </c>
      <c r="AX47" s="82">
        <f t="shared" si="22"/>
        <v>3.412836090765143E-2</v>
      </c>
      <c r="AY47" s="13">
        <f t="shared" si="22"/>
        <v>3.2761099566076049E-2</v>
      </c>
      <c r="AZ47" s="13">
        <f t="shared" si="22"/>
        <v>3.0881201446874819E-2</v>
      </c>
      <c r="BA47" s="13">
        <f t="shared" si="22"/>
        <v>3.1821150506475437E-2</v>
      </c>
    </row>
    <row r="48" spans="2:53" s="54" customFormat="1">
      <c r="B48" s="54" t="s">
        <v>45</v>
      </c>
      <c r="AG48" s="55"/>
      <c r="AH48" s="55"/>
      <c r="AI48" s="55"/>
      <c r="AJ48" s="55"/>
      <c r="AK48" s="55"/>
      <c r="AL48" s="56">
        <f t="shared" ref="AL48:AN48" si="23">+AL60</f>
        <v>1.6804617246653031E-3</v>
      </c>
      <c r="AM48" s="56">
        <f t="shared" si="23"/>
        <v>1.1927597911482837E-2</v>
      </c>
      <c r="AN48" s="56">
        <f t="shared" si="23"/>
        <v>2.986153943589917E-2</v>
      </c>
      <c r="AO48" s="56">
        <f>+AO60</f>
        <v>2.0894568673691005E-2</v>
      </c>
      <c r="AP48" s="56">
        <f>+AP60</f>
        <v>1.4982632219702323E-2</v>
      </c>
      <c r="AQ48" s="56">
        <f t="shared" ref="AQ48:BA48" si="24">+AQ60</f>
        <v>1.7310365360442864E-2</v>
      </c>
      <c r="AR48" s="56">
        <f t="shared" si="24"/>
        <v>1.6146498790072593E-2</v>
      </c>
      <c r="AS48" s="56">
        <f t="shared" si="24"/>
        <v>1.4608784068376906E-2</v>
      </c>
      <c r="AT48" s="56">
        <f t="shared" si="24"/>
        <v>8.3031207101542416E-3</v>
      </c>
      <c r="AU48" s="56">
        <f t="shared" si="24"/>
        <v>1.1455952389265573E-2</v>
      </c>
      <c r="AV48" s="56">
        <f t="shared" si="24"/>
        <v>1.0714729448603598E-3</v>
      </c>
      <c r="AW48" s="56">
        <f t="shared" si="24"/>
        <v>1.0740411821684465E-3</v>
      </c>
      <c r="AX48" s="56">
        <f t="shared" si="24"/>
        <v>1.0727570635144033E-3</v>
      </c>
      <c r="AY48" s="56">
        <f t="shared" si="24"/>
        <v>8.5949009385970817E-4</v>
      </c>
      <c r="AZ48" s="56">
        <f t="shared" si="24"/>
        <v>9.0280195059534328E-4</v>
      </c>
      <c r="BA48" s="56">
        <f t="shared" si="24"/>
        <v>8.8114602222752578E-4</v>
      </c>
    </row>
    <row r="49" spans="2:56" s="51" customFormat="1">
      <c r="B49" s="51" t="str">
        <f>+B29</f>
        <v>correction (+rev corr - gdem corr -oexp corr)</v>
      </c>
      <c r="AG49" s="57"/>
      <c r="AH49" s="57"/>
      <c r="AI49" s="57"/>
      <c r="AJ49" s="52"/>
      <c r="AK49" s="52"/>
      <c r="AL49" s="52"/>
      <c r="AM49" s="52">
        <v>0</v>
      </c>
      <c r="AN49" s="52">
        <f>-AM49</f>
        <v>0</v>
      </c>
      <c r="AO49" s="52">
        <f>+AM49+AN49</f>
        <v>0</v>
      </c>
      <c r="AP49" s="52">
        <v>0</v>
      </c>
      <c r="AQ49" s="52">
        <f>-AP49</f>
        <v>0</v>
      </c>
      <c r="AR49" s="52">
        <f>+AP49+AQ49</f>
        <v>0</v>
      </c>
      <c r="AS49" s="52">
        <v>0</v>
      </c>
      <c r="AT49" s="52">
        <f>-AS49</f>
        <v>0</v>
      </c>
      <c r="AU49" s="52">
        <f>+AS49+AT49</f>
        <v>0</v>
      </c>
      <c r="AV49" s="52">
        <v>0</v>
      </c>
      <c r="AW49" s="52">
        <f>-AV49</f>
        <v>0</v>
      </c>
      <c r="AX49" s="52">
        <f>+AV49+AW49</f>
        <v>0</v>
      </c>
      <c r="AY49" s="52">
        <v>0</v>
      </c>
      <c r="AZ49" s="52">
        <f>-AY49</f>
        <v>0</v>
      </c>
      <c r="BA49" s="52">
        <f>+AY49+AZ49</f>
        <v>0</v>
      </c>
      <c r="BB49" s="52"/>
      <c r="BC49" s="52"/>
      <c r="BD49" s="52"/>
    </row>
    <row r="50" spans="2:56" ht="15" thickBot="1">
      <c r="B50" s="38" t="s">
        <v>46</v>
      </c>
      <c r="AJ50" s="39"/>
      <c r="AK50" s="39"/>
      <c r="AL50" s="39"/>
      <c r="AM50" s="39">
        <f>+AM47+AM49</f>
        <v>5.1064114610470376E-2</v>
      </c>
      <c r="AN50" s="39">
        <f t="shared" ref="AN50:AR50" si="25">+AN47+AN49</f>
        <v>7.791343461512161E-2</v>
      </c>
      <c r="AO50" s="39">
        <f t="shared" si="25"/>
        <v>6.4386587928884811E-2</v>
      </c>
      <c r="AP50" s="39">
        <f t="shared" si="25"/>
        <v>5.7724847737669852E-2</v>
      </c>
      <c r="AQ50" s="39">
        <f t="shared" si="25"/>
        <v>5.7322632183083554E-2</v>
      </c>
      <c r="AR50" s="39">
        <f t="shared" si="25"/>
        <v>5.7523739960376706E-2</v>
      </c>
      <c r="AS50" s="39">
        <f>+AS47+AS49</f>
        <v>5.4166695518270393E-2</v>
      </c>
      <c r="AT50" s="39">
        <f t="shared" ref="AT50:AX50" si="26">+AT47+AT49</f>
        <v>4.4354442579946474E-2</v>
      </c>
      <c r="AU50" s="39">
        <f t="shared" si="26"/>
        <v>4.926056904910843E-2</v>
      </c>
      <c r="AV50" s="39">
        <f t="shared" si="26"/>
        <v>3.400421300018782E-2</v>
      </c>
      <c r="AW50" s="39">
        <f t="shared" si="26"/>
        <v>3.4252508815115039E-2</v>
      </c>
      <c r="AX50" s="39">
        <f t="shared" si="26"/>
        <v>3.412836090765143E-2</v>
      </c>
      <c r="AY50" s="39">
        <f>+AY47+AY49</f>
        <v>3.2761099566076049E-2</v>
      </c>
      <c r="AZ50" s="39">
        <f t="shared" ref="AZ50:BA50" si="27">+AZ47+AZ49</f>
        <v>3.0881201446874819E-2</v>
      </c>
      <c r="BA50" s="39">
        <f t="shared" si="27"/>
        <v>3.1821150506475437E-2</v>
      </c>
      <c r="BB50" s="39"/>
      <c r="BC50" s="39"/>
      <c r="BD50" s="39"/>
    </row>
    <row r="51" spans="2:56" ht="15" thickTop="1">
      <c r="B51" t="s">
        <v>47</v>
      </c>
      <c r="AM51" s="40">
        <f>+AM50</f>
        <v>5.1064114610470376E-2</v>
      </c>
      <c r="AN51" s="43">
        <f>+AN50</f>
        <v>7.791343461512161E-2</v>
      </c>
      <c r="AO51" s="41"/>
      <c r="AP51" s="43">
        <f>+AP50</f>
        <v>5.7724847737669852E-2</v>
      </c>
      <c r="AQ51" s="43">
        <f>+AQ50</f>
        <v>5.7322632183083554E-2</v>
      </c>
      <c r="AR51" s="41"/>
      <c r="AS51" s="43">
        <f>+AS50</f>
        <v>5.4166695518270393E-2</v>
      </c>
      <c r="AT51" s="43">
        <f>+AT50</f>
        <v>4.4354442579946474E-2</v>
      </c>
      <c r="AU51" s="41"/>
      <c r="AV51" s="43">
        <f>+AV50</f>
        <v>3.400421300018782E-2</v>
      </c>
      <c r="AW51" s="43">
        <f>+AW50</f>
        <v>3.4252508815115039E-2</v>
      </c>
      <c r="AX51" s="41"/>
      <c r="AY51" s="43">
        <f>+AY50</f>
        <v>3.2761099566076049E-2</v>
      </c>
      <c r="AZ51" s="43">
        <f>+AZ50</f>
        <v>3.0881201446874819E-2</v>
      </c>
      <c r="BA51" s="44"/>
    </row>
    <row r="52" spans="2:56" ht="15" thickBot="1">
      <c r="B52" t="str">
        <f>+B45</f>
        <v xml:space="preserve">                                                 second Q in sem</v>
      </c>
      <c r="AM52" s="45">
        <f>+AM50</f>
        <v>5.1064114610470376E-2</v>
      </c>
      <c r="AN52" s="48">
        <f>+AN50</f>
        <v>7.791343461512161E-2</v>
      </c>
      <c r="AO52" s="47" t="str">
        <f>IF(ABS(AVERAGE(AM51:AN52)-AO50)&gt;0.001,"check","")</f>
        <v/>
      </c>
      <c r="AP52" s="48">
        <f>+AP50</f>
        <v>5.7724847737669852E-2</v>
      </c>
      <c r="AQ52" s="48">
        <f>+AQ50</f>
        <v>5.7322632183083554E-2</v>
      </c>
      <c r="AR52" s="47" t="str">
        <f>IF(ABS(AVERAGE(AP51:AQ52)-AR50)&gt;0.001,"check","")</f>
        <v/>
      </c>
      <c r="AS52" s="48">
        <f>+AS50</f>
        <v>5.4166695518270393E-2</v>
      </c>
      <c r="AT52" s="48">
        <f>+AT50</f>
        <v>4.4354442579946474E-2</v>
      </c>
      <c r="AU52" s="86" t="str">
        <f>IF(ABS(AVERAGE(AS51:AT52)-AU50)&gt;0.001,"check","")</f>
        <v/>
      </c>
      <c r="AV52" s="48">
        <f>+AV50</f>
        <v>3.400421300018782E-2</v>
      </c>
      <c r="AW52" s="48">
        <f>+AW50</f>
        <v>3.4252508815115039E-2</v>
      </c>
      <c r="AX52" s="47" t="str">
        <f>IF(ABS(AVERAGE(AV51:AW52)-AX50)&gt;0.001,"check","")</f>
        <v/>
      </c>
      <c r="AY52" s="48">
        <f>+AY50</f>
        <v>3.2761099566076049E-2</v>
      </c>
      <c r="AZ52" s="48">
        <f>+AZ50</f>
        <v>3.0881201446874819E-2</v>
      </c>
      <c r="BA52" s="87" t="str">
        <f>IF(ABS(AVERAGE(AY51:AZ52)-BA50)&gt;0.001,"check","")</f>
        <v/>
      </c>
    </row>
    <row r="53" spans="2:56" ht="15" thickTop="1">
      <c r="B53" t="s">
        <v>56</v>
      </c>
      <c r="AO53" s="36">
        <f>+AO50-AO48</f>
        <v>4.3492019255193803E-2</v>
      </c>
      <c r="AR53" s="36">
        <f>+AR50-AR48</f>
        <v>4.1377241170304113E-2</v>
      </c>
      <c r="AU53" s="36">
        <f>+AU50-AU48</f>
        <v>3.780461665984286E-2</v>
      </c>
      <c r="AX53" s="36">
        <f>+AX50-AX48</f>
        <v>3.3055603844137027E-2</v>
      </c>
      <c r="BA53" s="36">
        <f>+BA50-BA48</f>
        <v>3.0940004484247913E-2</v>
      </c>
    </row>
    <row r="55" spans="2:56" ht="13.5" customHeight="1">
      <c r="B55" s="83" t="s">
        <v>63</v>
      </c>
      <c r="AJ55" s="2" t="str">
        <f t="shared" ref="AJ55:AL55" si="28">+IF(ABS(AJ34-AJ41-AJ47-AJ28)&gt;0.1,"check","")</f>
        <v/>
      </c>
      <c r="AK55" s="2" t="str">
        <f t="shared" si="28"/>
        <v/>
      </c>
      <c r="AL55" s="75" t="str">
        <f t="shared" si="28"/>
        <v/>
      </c>
      <c r="AM55" s="58" t="str">
        <f>+IF(ABS(AM34-AM41-AM47-AM28)&gt;0.001,"check","")</f>
        <v/>
      </c>
      <c r="AN55" s="58" t="str">
        <f t="shared" ref="AN55:BA55" si="29">+IF(ABS(AN34-AN41-AN47-AN28)&gt;0.001,"check","")</f>
        <v/>
      </c>
      <c r="AO55" s="58" t="str">
        <f t="shared" si="29"/>
        <v/>
      </c>
      <c r="AP55" s="58" t="str">
        <f t="shared" si="29"/>
        <v/>
      </c>
      <c r="AQ55" s="58" t="str">
        <f t="shared" si="29"/>
        <v/>
      </c>
      <c r="AR55" s="58" t="str">
        <f t="shared" si="29"/>
        <v/>
      </c>
      <c r="AS55" s="58" t="str">
        <f t="shared" si="29"/>
        <v/>
      </c>
      <c r="AT55" s="58" t="str">
        <f t="shared" si="29"/>
        <v/>
      </c>
      <c r="AU55" s="58" t="str">
        <f t="shared" si="29"/>
        <v/>
      </c>
      <c r="AV55" s="58" t="str">
        <f t="shared" si="29"/>
        <v/>
      </c>
      <c r="AW55" s="58" t="str">
        <f t="shared" si="29"/>
        <v/>
      </c>
      <c r="AX55" s="58" t="str">
        <f t="shared" si="29"/>
        <v/>
      </c>
      <c r="AY55" s="58" t="str">
        <f t="shared" si="29"/>
        <v/>
      </c>
      <c r="AZ55" s="58" t="str">
        <f t="shared" si="29"/>
        <v/>
      </c>
      <c r="BA55" s="58" t="str">
        <f t="shared" si="29"/>
        <v/>
      </c>
    </row>
    <row r="56" spans="2:56">
      <c r="B56" s="83" t="s">
        <v>64</v>
      </c>
      <c r="AJ56" s="60"/>
      <c r="AK56" s="60"/>
      <c r="AL56" s="76"/>
      <c r="AM56" s="60" t="str">
        <f>+IF(ABS(AM36-AM43-AM50-AM30)&gt;0.001,"check","")</f>
        <v/>
      </c>
      <c r="AN56" s="60" t="str">
        <f t="shared" ref="AN56:BA56" si="30">+IF(ABS(AN36-AN43-AN50-AN30)&gt;0.001,"check","")</f>
        <v/>
      </c>
      <c r="AO56" s="60" t="str">
        <f t="shared" si="30"/>
        <v/>
      </c>
      <c r="AP56" s="60" t="str">
        <f t="shared" si="30"/>
        <v/>
      </c>
      <c r="AQ56" s="60" t="str">
        <f t="shared" si="30"/>
        <v/>
      </c>
      <c r="AR56" s="60" t="str">
        <f t="shared" si="30"/>
        <v/>
      </c>
      <c r="AS56" s="60" t="str">
        <f t="shared" si="30"/>
        <v/>
      </c>
      <c r="AT56" s="60" t="str">
        <f t="shared" si="30"/>
        <v/>
      </c>
      <c r="AU56" s="60" t="str">
        <f t="shared" si="30"/>
        <v/>
      </c>
      <c r="AV56" s="60" t="str">
        <f t="shared" si="30"/>
        <v/>
      </c>
      <c r="AW56" s="60" t="str">
        <f t="shared" si="30"/>
        <v/>
      </c>
      <c r="AX56" s="60" t="str">
        <f t="shared" si="30"/>
        <v/>
      </c>
      <c r="AY56" s="60" t="str">
        <f t="shared" si="30"/>
        <v/>
      </c>
      <c r="AZ56" s="60" t="str">
        <f t="shared" si="30"/>
        <v/>
      </c>
      <c r="BA56" s="60" t="str">
        <f t="shared" si="30"/>
        <v/>
      </c>
    </row>
    <row r="57" spans="2:56">
      <c r="AJ57" s="138" t="s">
        <v>136</v>
      </c>
      <c r="AK57" s="74" t="s">
        <v>135</v>
      </c>
      <c r="BB57" s="74" t="str">
        <f>+AK57</f>
        <v>2025-30</v>
      </c>
    </row>
    <row r="58" spans="2:56">
      <c r="B58" t="s">
        <v>54</v>
      </c>
      <c r="AJ58" s="137" t="s">
        <v>134</v>
      </c>
      <c r="AK58" s="134">
        <f>+'NKIA financing'!I12</f>
        <v>1064.4723798398729</v>
      </c>
      <c r="AL58" s="62">
        <f>+AL11</f>
        <v>36.150092620999999</v>
      </c>
      <c r="AM58" s="62">
        <f>+AM11</f>
        <v>151.71123010600002</v>
      </c>
      <c r="AN58" s="62">
        <f t="shared" ref="AN58:BA58" si="31">+AN11</f>
        <v>379.81921542791872</v>
      </c>
      <c r="AO58" s="62">
        <f t="shared" si="31"/>
        <v>531.53044553391874</v>
      </c>
      <c r="AP58" s="62">
        <f t="shared" si="31"/>
        <v>220.01813446993873</v>
      </c>
      <c r="AQ58" s="62">
        <f t="shared" si="31"/>
        <v>254.20061293297613</v>
      </c>
      <c r="AR58" s="62">
        <f t="shared" si="31"/>
        <v>474.21874740291486</v>
      </c>
      <c r="AS58" s="62">
        <f t="shared" si="31"/>
        <v>242.28113296793407</v>
      </c>
      <c r="AT58" s="62">
        <f t="shared" si="31"/>
        <v>137.70410209432259</v>
      </c>
      <c r="AU58" s="62">
        <f t="shared" si="31"/>
        <v>379.98523506225666</v>
      </c>
      <c r="AV58" s="62">
        <f t="shared" si="31"/>
        <v>19.960489326811107</v>
      </c>
      <c r="AW58" s="62">
        <f t="shared" si="31"/>
        <v>20.008333067171215</v>
      </c>
      <c r="AX58" s="62">
        <f t="shared" si="31"/>
        <v>39.968822393982322</v>
      </c>
      <c r="AY58" s="62">
        <f t="shared" si="31"/>
        <v>17.990922015319999</v>
      </c>
      <c r="AZ58" s="62">
        <f t="shared" si="31"/>
        <v>18.897529598625912</v>
      </c>
      <c r="BA58" s="62">
        <f t="shared" si="31"/>
        <v>36.888451613945911</v>
      </c>
      <c r="BB58" s="73">
        <f>+AO58+AR58+AU58+AX58+BA58</f>
        <v>1462.5917020070185</v>
      </c>
      <c r="BC58" s="135" t="str">
        <f>+IF((-AK58+BB58)&gt;1,"Budget larger","")</f>
        <v>Budget larger</v>
      </c>
    </row>
    <row r="59" spans="2:56">
      <c r="B59" t="s">
        <v>55</v>
      </c>
      <c r="AJ59" s="59"/>
      <c r="AK59" s="136">
        <f>+'NKIA financing'!I11</f>
        <v>1423.8195120281225</v>
      </c>
      <c r="AL59" s="61"/>
      <c r="AM59" s="62"/>
      <c r="AN59" s="62"/>
      <c r="AO59" s="62"/>
      <c r="AP59" s="62"/>
      <c r="AQ59" s="62"/>
      <c r="AR59" s="62"/>
      <c r="AS59" s="62"/>
      <c r="AT59" s="62"/>
      <c r="AU59" s="62"/>
      <c r="AV59" s="62"/>
      <c r="AW59" s="62"/>
      <c r="AX59" s="62"/>
      <c r="AY59" s="62"/>
      <c r="AZ59" s="62"/>
      <c r="BA59" s="62"/>
    </row>
    <row r="60" spans="2:56" s="54" customFormat="1">
      <c r="B60" s="54" t="s">
        <v>48</v>
      </c>
      <c r="AG60" s="55"/>
      <c r="AH60" s="55"/>
      <c r="AI60" s="55"/>
      <c r="AJ60" s="55"/>
      <c r="AK60" s="55"/>
      <c r="AL60" s="56">
        <f t="shared" ref="AL60:AT60" si="32">+AL58/AL17</f>
        <v>1.6804617246653031E-3</v>
      </c>
      <c r="AM60" s="63">
        <f t="shared" si="32"/>
        <v>1.1927597911482837E-2</v>
      </c>
      <c r="AN60" s="63">
        <f t="shared" si="32"/>
        <v>2.986153943589917E-2</v>
      </c>
      <c r="AO60" s="56">
        <f>+AO58/AO17</f>
        <v>2.0894568673691005E-2</v>
      </c>
      <c r="AP60" s="63">
        <f t="shared" si="32"/>
        <v>1.4982632219702323E-2</v>
      </c>
      <c r="AQ60" s="63">
        <f t="shared" si="32"/>
        <v>1.7310365360442864E-2</v>
      </c>
      <c r="AR60" s="56">
        <f t="shared" si="32"/>
        <v>1.6146498790072593E-2</v>
      </c>
      <c r="AS60" s="63">
        <f t="shared" si="32"/>
        <v>1.4608784068376906E-2</v>
      </c>
      <c r="AT60" s="63">
        <f t="shared" si="32"/>
        <v>8.3031207101542416E-3</v>
      </c>
      <c r="AU60" s="56">
        <f>+AU58/AU17</f>
        <v>1.1455952389265573E-2</v>
      </c>
      <c r="AV60" s="63">
        <f t="shared" ref="AV60:AZ60" si="33">+AV58/AV17</f>
        <v>1.0714729448603598E-3</v>
      </c>
      <c r="AW60" s="63">
        <f t="shared" si="33"/>
        <v>1.0740411821684465E-3</v>
      </c>
      <c r="AX60" s="56">
        <f>+AX58/AX17</f>
        <v>1.0727570635144033E-3</v>
      </c>
      <c r="AY60" s="63">
        <f t="shared" si="33"/>
        <v>8.5949009385970817E-4</v>
      </c>
      <c r="AZ60" s="63">
        <f t="shared" si="33"/>
        <v>9.0280195059534328E-4</v>
      </c>
      <c r="BA60" s="56">
        <f>+BA58/BA17</f>
        <v>8.8114602222752578E-4</v>
      </c>
    </row>
    <row r="62" spans="2:56">
      <c r="AM62" s="33" t="str">
        <f>+AM27</f>
        <v>Jul-Dec</v>
      </c>
      <c r="AN62" s="33" t="str">
        <f t="shared" ref="AN62:AU62" si="34">+AN27</f>
        <v>Jan-Jun</v>
      </c>
      <c r="AO62" s="32" t="str">
        <f t="shared" si="34"/>
        <v>2025/2026</v>
      </c>
      <c r="AP62" s="33" t="str">
        <f t="shared" si="34"/>
        <v>Jul-Dec</v>
      </c>
      <c r="AQ62" s="33" t="str">
        <f t="shared" si="34"/>
        <v>Jan-Jun</v>
      </c>
      <c r="AR62" s="32" t="str">
        <f t="shared" si="34"/>
        <v>2026/2027</v>
      </c>
      <c r="AS62" s="33" t="str">
        <f t="shared" si="34"/>
        <v>Jul-Dec</v>
      </c>
      <c r="AT62" s="33" t="str">
        <f t="shared" si="34"/>
        <v>Jan-Jun</v>
      </c>
      <c r="AU62" s="32" t="str">
        <f t="shared" si="34"/>
        <v>2027/2028</v>
      </c>
    </row>
    <row r="63" spans="2:56">
      <c r="AK63" s="72" t="s">
        <v>59</v>
      </c>
    </row>
    <row r="64" spans="2:56" ht="15" thickBot="1">
      <c r="B64" s="49" t="s">
        <v>58</v>
      </c>
      <c r="AK64" s="64">
        <f>+AVERAGE(AO64,AR64, AU64)</f>
        <v>1.6165673284343055E-2</v>
      </c>
      <c r="AM64" s="36">
        <f t="shared" ref="AM64:AN64" si="35">+AM48</f>
        <v>1.1927597911482837E-2</v>
      </c>
      <c r="AN64" s="36">
        <f t="shared" si="35"/>
        <v>2.986153943589917E-2</v>
      </c>
      <c r="AO64" s="64">
        <f t="shared" ref="AO64:AU64" si="36">+AO48</f>
        <v>2.0894568673691005E-2</v>
      </c>
      <c r="AP64" s="36">
        <f t="shared" si="36"/>
        <v>1.4982632219702323E-2</v>
      </c>
      <c r="AQ64" s="36">
        <f t="shared" si="36"/>
        <v>1.7310365360442864E-2</v>
      </c>
      <c r="AR64" s="64">
        <f t="shared" si="36"/>
        <v>1.6146498790072593E-2</v>
      </c>
      <c r="AS64" s="36">
        <f t="shared" si="36"/>
        <v>1.4608784068376906E-2</v>
      </c>
      <c r="AT64" s="36">
        <f t="shared" si="36"/>
        <v>8.3031207101542416E-3</v>
      </c>
      <c r="AU64" s="64">
        <f t="shared" si="36"/>
        <v>1.1455952389265573E-2</v>
      </c>
      <c r="AV64" s="36"/>
      <c r="AW64" s="36"/>
      <c r="AX64" s="36"/>
      <c r="AZ64" s="36"/>
      <c r="BA64" s="36"/>
    </row>
    <row r="65" spans="1:53" ht="15" thickTop="1">
      <c r="B65" s="54" t="s">
        <v>49</v>
      </c>
      <c r="AK65" s="34" t="s">
        <v>50</v>
      </c>
      <c r="AM65" s="65">
        <f>+$AK$64/$AK$66*$AK$69*AM68</f>
        <v>7.0051250898819903E-2</v>
      </c>
      <c r="AN65" s="66">
        <f>+$AK$64/$AK$66*$AK$69*AN68</f>
        <v>0.12393682851329674</v>
      </c>
      <c r="AO65" s="41"/>
      <c r="AP65" s="66">
        <f>+$AK$64/$AK$66*$AK$69*AP68</f>
        <v>0.14010250179763981</v>
      </c>
      <c r="AQ65" s="66">
        <f>+$AK$64/$AK$66*$AK$69*AQ68</f>
        <v>9.1605481944610642E-2</v>
      </c>
      <c r="AR65" s="80"/>
      <c r="AS65" s="66">
        <f>+$AU$64/$AK$66*$AK$69*AS68</f>
        <v>7.6373015928437163E-2</v>
      </c>
      <c r="AT65" s="66">
        <f>+$AU$64/$AK$66*$AK$69*AT68</f>
        <v>7.6373015928437163E-2</v>
      </c>
      <c r="AU65" s="44"/>
    </row>
    <row r="66" spans="1:53" ht="15" thickBot="1">
      <c r="B66" s="54" t="s">
        <v>51</v>
      </c>
      <c r="AK66" s="69">
        <v>0.15</v>
      </c>
      <c r="AM66" s="67">
        <f>+$AK$64/$AK$66*$AK$69*AM69</f>
        <v>9.1605481944610642E-2</v>
      </c>
      <c r="AN66" s="68">
        <f>+$AK$64/$AK$66*$AK$69*AN69</f>
        <v>0.14010250179763981</v>
      </c>
      <c r="AO66" s="47">
        <f>AVERAGE(AM65:AN67)</f>
        <v>0.10642401578859179</v>
      </c>
      <c r="AP66" s="68">
        <f>+$AK$64/$AK$66*$AK$69*AP69</f>
        <v>0.12393682851329674</v>
      </c>
      <c r="AQ66" s="68">
        <f>+$AK$64/$AK$66*$AK$69*AQ69</f>
        <v>7.0051250898819903E-2</v>
      </c>
      <c r="AR66" s="47">
        <f>AVERAGE(AP65:AQ67)</f>
        <v>0.10642401578859177</v>
      </c>
      <c r="AS66" s="68">
        <f t="shared" ref="AS66" si="37">+$AU$64/$AK$66*$AK$69*AS69</f>
        <v>7.6373015928437163E-2</v>
      </c>
      <c r="AT66" s="68">
        <f>+$AU$64/$AK$66*$AK$69*AT69</f>
        <v>7.6373015928437163E-2</v>
      </c>
      <c r="AU66" s="47">
        <f>AVERAGE(AS65:AT67)</f>
        <v>7.6373015928437163E-2</v>
      </c>
    </row>
    <row r="67" spans="1:53" ht="15" thickTop="1">
      <c r="B67" s="54"/>
      <c r="AK67" s="69"/>
      <c r="AO67" s="81"/>
    </row>
    <row r="68" spans="1:53">
      <c r="AK68" s="34" t="s">
        <v>53</v>
      </c>
      <c r="AL68" s="34" t="s">
        <v>52</v>
      </c>
      <c r="AM68" s="70">
        <v>0.65</v>
      </c>
      <c r="AN68" s="70">
        <v>1.1499999999999999</v>
      </c>
      <c r="AP68" s="70">
        <f>+AN69</f>
        <v>1.3</v>
      </c>
      <c r="AQ68" s="70">
        <f>+AM69</f>
        <v>0.85</v>
      </c>
      <c r="AS68" s="70">
        <v>1</v>
      </c>
      <c r="AT68" s="70">
        <v>1</v>
      </c>
    </row>
    <row r="69" spans="1:53">
      <c r="AK69" s="70">
        <v>1</v>
      </c>
      <c r="AM69" s="70">
        <v>0.85</v>
      </c>
      <c r="AN69" s="70">
        <v>1.3</v>
      </c>
      <c r="AP69" s="70">
        <f>+AN68</f>
        <v>1.1499999999999999</v>
      </c>
      <c r="AQ69" s="70">
        <f>+AM68</f>
        <v>0.65</v>
      </c>
      <c r="AS69" s="70">
        <v>1</v>
      </c>
      <c r="AT69" s="70">
        <v>1</v>
      </c>
    </row>
    <row r="70" spans="1:53">
      <c r="B70" s="121" t="s">
        <v>110</v>
      </c>
      <c r="AO70" s="70"/>
    </row>
    <row r="71" spans="1:53">
      <c r="B71" s="71"/>
      <c r="AO71" s="70"/>
    </row>
    <row r="72" spans="1:53">
      <c r="B72" s="71"/>
      <c r="AO72" s="70"/>
    </row>
    <row r="73" spans="1:53" ht="22" customHeight="1">
      <c r="B73" s="111" t="s">
        <v>112</v>
      </c>
    </row>
    <row r="74" spans="1:53" ht="14.5">
      <c r="A74" s="103"/>
      <c r="B74" s="106" t="s">
        <v>114</v>
      </c>
      <c r="AA74" s="120" t="s">
        <v>74</v>
      </c>
      <c r="AB74" s="120" t="s">
        <v>75</v>
      </c>
      <c r="AC74" s="120" t="s">
        <v>76</v>
      </c>
      <c r="AD74" s="120" t="s">
        <v>77</v>
      </c>
      <c r="AE74" s="120" t="s">
        <v>78</v>
      </c>
      <c r="AF74" s="120" t="s">
        <v>79</v>
      </c>
      <c r="AG74" s="120" t="s">
        <v>80</v>
      </c>
      <c r="AH74" s="120" t="s">
        <v>81</v>
      </c>
      <c r="AI74" s="120" t="s">
        <v>82</v>
      </c>
      <c r="AJ74" s="120" t="s">
        <v>83</v>
      </c>
      <c r="AK74" s="120" t="s">
        <v>84</v>
      </c>
      <c r="AL74" s="120" t="s">
        <v>85</v>
      </c>
      <c r="AM74" s="120" t="s">
        <v>86</v>
      </c>
      <c r="AN74" s="120" t="s">
        <v>87</v>
      </c>
      <c r="AO74" s="120" t="s">
        <v>88</v>
      </c>
      <c r="AP74" s="120" t="s">
        <v>89</v>
      </c>
      <c r="AQ74" s="120" t="s">
        <v>90</v>
      </c>
      <c r="AR74" s="120" t="s">
        <v>91</v>
      </c>
      <c r="AS74" s="120" t="s">
        <v>92</v>
      </c>
      <c r="AT74" s="120" t="s">
        <v>93</v>
      </c>
      <c r="AU74" s="120" t="s">
        <v>94</v>
      </c>
      <c r="AV74" s="120" t="s">
        <v>95</v>
      </c>
      <c r="AW74" s="120" t="s">
        <v>96</v>
      </c>
      <c r="AX74" s="120" t="s">
        <v>97</v>
      </c>
      <c r="AY74"/>
      <c r="AZ74"/>
    </row>
    <row r="75" spans="1:53" ht="14.5">
      <c r="A75" s="103"/>
      <c r="B75" s="104" t="s">
        <v>98</v>
      </c>
      <c r="AA75" s="99"/>
      <c r="AB75" s="99"/>
      <c r="AC75" s="99"/>
      <c r="AD75" s="99"/>
      <c r="AE75" s="100"/>
      <c r="AF75" s="100"/>
      <c r="AG75" s="100"/>
      <c r="AH75" s="100"/>
      <c r="AI75" s="100"/>
      <c r="AJ75" s="100"/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</row>
    <row r="76" spans="1:53" s="141" customFormat="1">
      <c r="A76" s="140" t="s">
        <v>99</v>
      </c>
      <c r="B76" s="140" t="s">
        <v>100</v>
      </c>
      <c r="C76" s="144"/>
      <c r="D76" s="144"/>
      <c r="E76" s="144"/>
      <c r="F76" s="144"/>
      <c r="G76" s="144"/>
      <c r="H76" s="144"/>
      <c r="I76" s="144"/>
      <c r="J76" s="144"/>
      <c r="K76" s="144"/>
      <c r="L76" s="144"/>
      <c r="M76" s="144"/>
      <c r="N76" s="144"/>
      <c r="O76" s="144"/>
      <c r="P76" s="144"/>
      <c r="Q76" s="144"/>
      <c r="R76" s="144"/>
      <c r="S76" s="144"/>
      <c r="T76" s="144"/>
      <c r="U76" s="144"/>
      <c r="V76" s="144"/>
      <c r="W76" s="144"/>
      <c r="X76" s="144"/>
      <c r="Y76" s="144"/>
      <c r="Z76" s="144"/>
      <c r="AA76" s="144">
        <f>AA83</f>
        <v>-8.5283014900924742E-2</v>
      </c>
      <c r="AB76" s="146">
        <f t="shared" ref="AB76:AD76" si="38">AB83</f>
        <v>-8.0283014900924737E-2</v>
      </c>
      <c r="AC76" s="146">
        <f t="shared" si="38"/>
        <v>-8.8714319740623854E-2</v>
      </c>
      <c r="AD76" s="146">
        <f t="shared" si="38"/>
        <v>-8.6214319740623852E-2</v>
      </c>
      <c r="AE76" s="146">
        <f>+AM31</f>
        <v>-7.6277457795337969E-2</v>
      </c>
      <c r="AF76" s="146">
        <f>+AM32</f>
        <v>-7.6277457795337969E-2</v>
      </c>
      <c r="AG76" s="146">
        <f>+AN31</f>
        <v>-9.6640500522892761E-2</v>
      </c>
      <c r="AH76" s="146">
        <f>+AN32</f>
        <v>-8.7340500522892758E-2</v>
      </c>
      <c r="AI76" s="146">
        <f>+AP31</f>
        <v>-6.4339094794746796E-2</v>
      </c>
      <c r="AJ76" s="146">
        <f>+AP32</f>
        <v>-6.4339094794746796E-2</v>
      </c>
      <c r="AK76" s="146">
        <f>+AQ31</f>
        <v>-7.105824249974832E-2</v>
      </c>
      <c r="AL76" s="146">
        <f>+AQ32</f>
        <v>-6.7058242499748316E-2</v>
      </c>
      <c r="AM76" s="146">
        <f>+AS31</f>
        <v>-6.2343443876518197E-2</v>
      </c>
      <c r="AN76" s="146">
        <f>+AS32</f>
        <v>-6.1343443876518196E-2</v>
      </c>
      <c r="AO76" s="146">
        <f>+AT31</f>
        <v>-6.0011635222512322E-2</v>
      </c>
      <c r="AP76" s="146">
        <f>+AT32</f>
        <v>-5.8311635222512315E-2</v>
      </c>
      <c r="AQ76" s="146">
        <f>+AV31</f>
        <v>-4.4797238926274401E-2</v>
      </c>
      <c r="AR76" s="146">
        <f>+AV32</f>
        <v>-4.2797238926274399E-2</v>
      </c>
      <c r="AS76" s="146">
        <f>+AW31</f>
        <v>-5.1153398275703831E-2</v>
      </c>
      <c r="AT76" s="146">
        <f>+AW32</f>
        <v>-4.905339827570384E-2</v>
      </c>
      <c r="AU76" s="146">
        <f>+AY31</f>
        <v>-4.4072687633866001E-2</v>
      </c>
      <c r="AV76" s="146">
        <f>+AY32</f>
        <v>-4.2572687633865999E-2</v>
      </c>
      <c r="AW76" s="146">
        <f>+AZ31</f>
        <v>-4.9229636157852676E-2</v>
      </c>
      <c r="AX76" s="146">
        <f>+AZ32</f>
        <v>-4.7729636157852674E-2</v>
      </c>
      <c r="BA76" s="142"/>
    </row>
    <row r="77" spans="1:53" s="141" customFormat="1" ht="21.5" customHeight="1">
      <c r="A77" s="140" t="s">
        <v>101</v>
      </c>
      <c r="B77" s="140" t="s">
        <v>102</v>
      </c>
      <c r="C77" s="144"/>
      <c r="D77" s="144"/>
      <c r="E77" s="144"/>
      <c r="F77" s="144"/>
      <c r="G77" s="144"/>
      <c r="H77" s="144"/>
      <c r="I77" s="144"/>
      <c r="J77" s="144"/>
      <c r="K77" s="144"/>
      <c r="L77" s="144"/>
      <c r="M77" s="144"/>
      <c r="N77" s="144"/>
      <c r="O77" s="144"/>
      <c r="P77" s="144"/>
      <c r="Q77" s="144"/>
      <c r="R77" s="144"/>
      <c r="S77" s="144"/>
      <c r="T77" s="144"/>
      <c r="U77" s="144"/>
      <c r="V77" s="144"/>
      <c r="W77" s="144"/>
      <c r="X77" s="144"/>
      <c r="Y77" s="144"/>
      <c r="Z77" s="144"/>
      <c r="AA77" s="146">
        <f t="shared" ref="AA77:AD77" si="39">AA84</f>
        <v>0.17</v>
      </c>
      <c r="AB77" s="146">
        <f t="shared" si="39"/>
        <v>0.17500000000000002</v>
      </c>
      <c r="AC77" s="146">
        <f t="shared" si="39"/>
        <v>0.17750000000000002</v>
      </c>
      <c r="AD77" s="146">
        <f t="shared" si="39"/>
        <v>0.18000000000000002</v>
      </c>
      <c r="AE77" s="146">
        <f>+AM37</f>
        <v>0.16307315624292407</v>
      </c>
      <c r="AF77" s="146">
        <f>+AM38</f>
        <v>0.16307315624292407</v>
      </c>
      <c r="AG77" s="146">
        <f>+AN37</f>
        <v>0.17237315624292407</v>
      </c>
      <c r="AH77" s="146">
        <f>+AN38</f>
        <v>0.18167315624292407</v>
      </c>
      <c r="AI77" s="146">
        <f>+AP37</f>
        <v>0.17267315624292406</v>
      </c>
      <c r="AJ77" s="146">
        <f>+AP38</f>
        <v>0.17267315624292406</v>
      </c>
      <c r="AK77" s="146">
        <f>+AQ37</f>
        <v>0.17667315624292407</v>
      </c>
      <c r="AL77" s="146">
        <f>+AQ38</f>
        <v>0.18067315624292407</v>
      </c>
      <c r="AM77" s="146">
        <f>+AS37</f>
        <v>0.17667315624292407</v>
      </c>
      <c r="AN77" s="146">
        <f>+AS38</f>
        <v>0.17767315624292407</v>
      </c>
      <c r="AO77" s="146">
        <f>+AT37</f>
        <v>0.17937315624292408</v>
      </c>
      <c r="AP77" s="146">
        <f>+AT38</f>
        <v>0.18107315624292408</v>
      </c>
      <c r="AQ77" s="146">
        <f>+AV37</f>
        <v>0.17857315624292408</v>
      </c>
      <c r="AR77" s="146">
        <f>+AV38</f>
        <v>0.18057315624292408</v>
      </c>
      <c r="AS77" s="146">
        <f>+AW37</f>
        <v>0.18267315624292407</v>
      </c>
      <c r="AT77" s="146">
        <f>+AW38</f>
        <v>0.18477315624292406</v>
      </c>
      <c r="AU77" s="146">
        <f>+AY37</f>
        <v>0.18127315624292406</v>
      </c>
      <c r="AV77" s="146">
        <f>+AY38</f>
        <v>0.18277315624292406</v>
      </c>
      <c r="AW77" s="146">
        <f>+AZ37</f>
        <v>0.18427315624292406</v>
      </c>
      <c r="AX77" s="146">
        <f>+AZ38</f>
        <v>0.18577315624292406</v>
      </c>
      <c r="BA77" s="142"/>
    </row>
    <row r="78" spans="1:53" s="141" customFormat="1" ht="20.5" customHeight="1">
      <c r="A78" s="140" t="s">
        <v>103</v>
      </c>
      <c r="B78" s="140" t="s">
        <v>104</v>
      </c>
      <c r="C78" s="144"/>
      <c r="D78" s="144"/>
      <c r="E78" s="144"/>
      <c r="F78" s="144"/>
      <c r="G78" s="144"/>
      <c r="H78" s="144"/>
      <c r="I78" s="144"/>
      <c r="J78" s="144"/>
      <c r="K78" s="144"/>
      <c r="L78" s="144"/>
      <c r="M78" s="144"/>
      <c r="N78" s="144"/>
      <c r="O78" s="144"/>
      <c r="P78" s="144"/>
      <c r="Q78" s="144"/>
      <c r="R78" s="144"/>
      <c r="S78" s="144"/>
      <c r="T78" s="144"/>
      <c r="U78" s="144"/>
      <c r="V78" s="144"/>
      <c r="W78" s="144"/>
      <c r="X78" s="144"/>
      <c r="Y78" s="144"/>
      <c r="Z78" s="144"/>
      <c r="AA78" s="146">
        <f t="shared" ref="AA78:AD78" si="40">AA85</f>
        <v>0.19313555433892682</v>
      </c>
      <c r="AB78" s="146">
        <f t="shared" si="40"/>
        <v>0.19313555433892682</v>
      </c>
      <c r="AC78" s="146">
        <f t="shared" si="40"/>
        <v>0.19775029848561318</v>
      </c>
      <c r="AD78" s="146">
        <f t="shared" si="40"/>
        <v>0.19775029848561318</v>
      </c>
      <c r="AE78" s="146">
        <f>+AM44</f>
        <v>0.18828649942779166</v>
      </c>
      <c r="AF78" s="146">
        <f>+AM45</f>
        <v>0.18828649942779166</v>
      </c>
      <c r="AG78" s="146">
        <f>+AN44</f>
        <v>0.19110022215069522</v>
      </c>
      <c r="AH78" s="146">
        <f>+AN45</f>
        <v>0.19110022215069522</v>
      </c>
      <c r="AI78" s="146">
        <f>+AP44</f>
        <v>0.17928740330000101</v>
      </c>
      <c r="AJ78" s="146">
        <f>+AP45</f>
        <v>0.17928740330000101</v>
      </c>
      <c r="AK78" s="146">
        <f>+AQ44</f>
        <v>0.19040876655958883</v>
      </c>
      <c r="AL78" s="146">
        <f>+AQ45</f>
        <v>0.19040876655958883</v>
      </c>
      <c r="AM78" s="146">
        <f>+AS44</f>
        <v>0.18484990460117187</v>
      </c>
      <c r="AN78" s="146">
        <f>+AS45</f>
        <v>0.18484990460117187</v>
      </c>
      <c r="AO78" s="146">
        <f>+AT44</f>
        <v>0.19503034888548992</v>
      </c>
      <c r="AP78" s="146">
        <f>+AT45</f>
        <v>0.19503034888548992</v>
      </c>
      <c r="AQ78" s="146">
        <f>+AV44</f>
        <v>0.18936618216901066</v>
      </c>
      <c r="AR78" s="146">
        <f>+AV45</f>
        <v>0.18936618216901066</v>
      </c>
      <c r="AS78" s="146">
        <f>+AW44</f>
        <v>0.19957404570351286</v>
      </c>
      <c r="AT78" s="146">
        <f>+AW45</f>
        <v>0.19957404570351286</v>
      </c>
      <c r="AU78" s="146">
        <f>+AY44</f>
        <v>0.19258474431071401</v>
      </c>
      <c r="AV78" s="146">
        <f>+AY45</f>
        <v>0.19258474431071401</v>
      </c>
      <c r="AW78" s="146">
        <f>+AZ44</f>
        <v>0.20262159095390192</v>
      </c>
      <c r="AX78" s="146">
        <f>+AZ45</f>
        <v>0.20262159095390192</v>
      </c>
      <c r="BA78" s="142"/>
    </row>
    <row r="79" spans="1:53" s="141" customFormat="1" ht="19" customHeight="1">
      <c r="A79" s="140" t="s">
        <v>105</v>
      </c>
      <c r="B79" s="140" t="s">
        <v>106</v>
      </c>
      <c r="C79" s="144"/>
      <c r="D79" s="144"/>
      <c r="E79" s="144"/>
      <c r="F79" s="144"/>
      <c r="G79" s="144"/>
      <c r="H79" s="144"/>
      <c r="I79" s="144"/>
      <c r="J79" s="144"/>
      <c r="K79" s="144"/>
      <c r="L79" s="144"/>
      <c r="M79" s="144"/>
      <c r="N79" s="144"/>
      <c r="O79" s="144"/>
      <c r="P79" s="144"/>
      <c r="Q79" s="144"/>
      <c r="R79" s="144"/>
      <c r="S79" s="144"/>
      <c r="T79" s="144"/>
      <c r="U79" s="144"/>
      <c r="V79" s="144"/>
      <c r="W79" s="144"/>
      <c r="X79" s="144"/>
      <c r="Y79" s="144"/>
      <c r="Z79" s="144"/>
      <c r="AA79" s="146">
        <f t="shared" ref="AA79:AD79" si="41">AA86</f>
        <v>6.2147460561997943E-2</v>
      </c>
      <c r="AB79" s="146">
        <f t="shared" si="41"/>
        <v>6.2147460561997943E-2</v>
      </c>
      <c r="AC79" s="146">
        <f t="shared" si="41"/>
        <v>6.8464021255010693E-2</v>
      </c>
      <c r="AD79" s="146">
        <f t="shared" si="41"/>
        <v>6.8464021255010693E-2</v>
      </c>
      <c r="AE79" s="146">
        <f>+AM51</f>
        <v>5.1064114610470376E-2</v>
      </c>
      <c r="AF79" s="146">
        <f>+AM52</f>
        <v>5.1064114610470376E-2</v>
      </c>
      <c r="AG79" s="146">
        <f>+AN51</f>
        <v>7.791343461512161E-2</v>
      </c>
      <c r="AH79" s="146">
        <f>+AN52</f>
        <v>7.791343461512161E-2</v>
      </c>
      <c r="AI79" s="146">
        <f>+AP51</f>
        <v>5.7724847737669852E-2</v>
      </c>
      <c r="AJ79" s="146">
        <f>+AP52</f>
        <v>5.7724847737669852E-2</v>
      </c>
      <c r="AK79" s="146">
        <f>+AQ51</f>
        <v>5.7322632183083554E-2</v>
      </c>
      <c r="AL79" s="146">
        <f>+AQ52</f>
        <v>5.7322632183083554E-2</v>
      </c>
      <c r="AM79" s="146">
        <f>+AS51</f>
        <v>5.4166695518270393E-2</v>
      </c>
      <c r="AN79" s="146">
        <f>+AS52</f>
        <v>5.4166695518270393E-2</v>
      </c>
      <c r="AO79" s="146">
        <f>+AT51</f>
        <v>4.4354442579946474E-2</v>
      </c>
      <c r="AP79" s="146">
        <f>+AT52</f>
        <v>4.4354442579946474E-2</v>
      </c>
      <c r="AQ79" s="146">
        <f>+AV51</f>
        <v>3.400421300018782E-2</v>
      </c>
      <c r="AR79" s="146">
        <f>+AV52</f>
        <v>3.400421300018782E-2</v>
      </c>
      <c r="AS79" s="146">
        <f>+AW51</f>
        <v>3.4252508815115039E-2</v>
      </c>
      <c r="AT79" s="146">
        <f>+AW52</f>
        <v>3.4252508815115039E-2</v>
      </c>
      <c r="AU79" s="146">
        <f>+AY51</f>
        <v>3.2761099566076049E-2</v>
      </c>
      <c r="AV79" s="146">
        <f>+AY52</f>
        <v>3.2761099566076049E-2</v>
      </c>
      <c r="AW79" s="146">
        <f>+AZ51</f>
        <v>3.0881201446874819E-2</v>
      </c>
      <c r="AX79" s="146">
        <f>+AZ52</f>
        <v>3.0881201446874819E-2</v>
      </c>
      <c r="BA79" s="142"/>
    </row>
    <row r="80" spans="1:53" s="141" customFormat="1" ht="16.75" customHeight="1">
      <c r="A80" s="140" t="s">
        <v>113</v>
      </c>
      <c r="B80" s="143" t="s">
        <v>138</v>
      </c>
      <c r="C80" s="144"/>
      <c r="D80" s="144"/>
      <c r="E80" s="144"/>
      <c r="F80" s="144"/>
      <c r="G80" s="144"/>
      <c r="H80" s="144"/>
      <c r="I80" s="144"/>
      <c r="J80" s="144"/>
      <c r="K80" s="144"/>
      <c r="L80" s="144"/>
      <c r="M80" s="144"/>
      <c r="N80" s="144"/>
      <c r="O80" s="144"/>
      <c r="P80" s="144"/>
      <c r="Q80" s="144"/>
      <c r="R80" s="144"/>
      <c r="S80" s="144"/>
      <c r="T80" s="144"/>
      <c r="U80" s="144"/>
      <c r="V80" s="144"/>
      <c r="W80" s="144"/>
      <c r="X80" s="144"/>
      <c r="Y80" s="144"/>
      <c r="Z80" s="144"/>
      <c r="AA80" s="146">
        <f t="shared" ref="AA80:AD80" si="42">AA87</f>
        <v>4.2294792912625521E-2</v>
      </c>
      <c r="AB80" s="146">
        <f t="shared" si="42"/>
        <v>5.5308575347279523E-2</v>
      </c>
      <c r="AC80" s="146">
        <f t="shared" si="42"/>
        <v>7.4829248999260523E-2</v>
      </c>
      <c r="AD80" s="146">
        <f t="shared" si="42"/>
        <v>8.4589585825251043E-2</v>
      </c>
      <c r="AE80" s="146">
        <f>+AM65</f>
        <v>7.0051250898819903E-2</v>
      </c>
      <c r="AF80" s="146">
        <f>+AM66</f>
        <v>9.1605481944610642E-2</v>
      </c>
      <c r="AG80" s="146">
        <f>+AN65</f>
        <v>0.12393682851329674</v>
      </c>
      <c r="AH80" s="146">
        <f>+AN66</f>
        <v>0.14010250179763981</v>
      </c>
      <c r="AI80" s="146">
        <f>+AP65</f>
        <v>0.14010250179763981</v>
      </c>
      <c r="AJ80" s="146">
        <f>+AP66</f>
        <v>0.12393682851329674</v>
      </c>
      <c r="AK80" s="146">
        <f>+AQ65</f>
        <v>9.1605481944610642E-2</v>
      </c>
      <c r="AL80" s="146">
        <f>+AQ66</f>
        <v>7.0051250898819903E-2</v>
      </c>
      <c r="AM80" s="146">
        <f>+AS65</f>
        <v>7.6373015928437163E-2</v>
      </c>
      <c r="AN80" s="146">
        <f>+AS66</f>
        <v>7.6373015928437163E-2</v>
      </c>
      <c r="AO80" s="146">
        <f>+AT65</f>
        <v>7.6373015928437163E-2</v>
      </c>
      <c r="AP80" s="146">
        <f>+AT66</f>
        <v>7.6373015928437163E-2</v>
      </c>
      <c r="AQ80" s="146"/>
      <c r="AR80" s="146"/>
      <c r="AS80" s="146"/>
      <c r="AT80" s="146"/>
      <c r="AU80" s="146"/>
      <c r="AV80" s="146"/>
      <c r="AW80" s="146"/>
      <c r="AX80" s="146"/>
      <c r="BA80" s="142"/>
    </row>
    <row r="81" spans="1:60">
      <c r="A81" s="103"/>
      <c r="B81" s="105"/>
      <c r="C81" s="144"/>
      <c r="D81" s="144"/>
      <c r="E81" s="144"/>
      <c r="F81" s="144"/>
      <c r="G81" s="144"/>
      <c r="H81" s="144"/>
      <c r="I81" s="144"/>
      <c r="J81" s="144"/>
      <c r="K81" s="144"/>
      <c r="L81" s="144"/>
      <c r="M81" s="144"/>
      <c r="N81" s="144"/>
      <c r="O81" s="144"/>
      <c r="P81" s="144"/>
      <c r="Q81" s="144"/>
      <c r="R81" s="144"/>
      <c r="S81" s="144"/>
      <c r="T81" s="144"/>
      <c r="U81" s="144"/>
      <c r="V81" s="144"/>
      <c r="W81" s="144"/>
      <c r="X81" s="144"/>
      <c r="Y81" s="144"/>
      <c r="Z81" s="144"/>
      <c r="AA81" s="49"/>
      <c r="AB81" s="49"/>
      <c r="AC81" s="49"/>
      <c r="AD81" s="49"/>
      <c r="AE81" s="101"/>
      <c r="AF81" s="101"/>
      <c r="AG81" s="101"/>
      <c r="AH81" s="101"/>
      <c r="AI81" s="101"/>
      <c r="AJ81" s="101"/>
      <c r="AK81" s="101"/>
      <c r="AL81" s="101"/>
      <c r="AM81" s="102"/>
      <c r="AN81" s="102"/>
      <c r="AO81" s="102"/>
      <c r="AP81" s="102"/>
      <c r="AQ81"/>
      <c r="AR81"/>
      <c r="AS81"/>
      <c r="AT81"/>
      <c r="AU81"/>
      <c r="AV81"/>
      <c r="AW81"/>
      <c r="AX81"/>
      <c r="AY81"/>
      <c r="AZ81"/>
    </row>
    <row r="82" spans="1:60" ht="14.5">
      <c r="A82" s="113"/>
      <c r="B82" s="114" t="s">
        <v>107</v>
      </c>
      <c r="C82" s="144"/>
      <c r="D82" s="144"/>
      <c r="E82" s="144"/>
      <c r="F82" s="144"/>
      <c r="G82" s="144"/>
      <c r="H82" s="144"/>
      <c r="I82" s="144"/>
      <c r="J82" s="144"/>
      <c r="K82" s="144"/>
      <c r="L82" s="144"/>
      <c r="M82" s="144"/>
      <c r="N82" s="144"/>
      <c r="O82" s="144"/>
      <c r="P82" s="144"/>
      <c r="Q82" s="144"/>
      <c r="R82" s="144"/>
      <c r="S82" s="144"/>
      <c r="T82" s="144"/>
      <c r="U82" s="144"/>
      <c r="V82" s="144"/>
      <c r="W82" s="144"/>
      <c r="X82" s="144"/>
      <c r="Y82" s="144"/>
      <c r="Z82" s="144"/>
      <c r="AA82" s="115"/>
      <c r="AB82" s="115"/>
      <c r="AC82" s="115"/>
      <c r="AD82" s="115"/>
      <c r="AE82" s="116"/>
      <c r="AF82" s="116"/>
      <c r="AG82" s="116"/>
      <c r="AH82" s="116"/>
      <c r="AI82" s="116"/>
      <c r="AJ82" s="116"/>
      <c r="AK82" s="115"/>
      <c r="AL82" s="115"/>
      <c r="AM82" s="115"/>
      <c r="AN82" s="115"/>
      <c r="AO82" s="115"/>
      <c r="AP82" s="115"/>
      <c r="AQ82" s="115"/>
      <c r="AR82" s="115"/>
      <c r="AS82" s="115"/>
      <c r="AT82" s="115"/>
      <c r="AU82" s="107"/>
      <c r="AV82" s="107"/>
      <c r="AW82" s="107"/>
      <c r="AX82" s="107"/>
      <c r="AY82" s="107"/>
      <c r="AZ82" s="107"/>
      <c r="BA82" s="108"/>
      <c r="BB82" s="107"/>
      <c r="BC82" s="107"/>
      <c r="BD82" s="107"/>
      <c r="BE82" s="107"/>
      <c r="BF82" s="107"/>
      <c r="BG82" s="107"/>
      <c r="BH82" s="107"/>
    </row>
    <row r="83" spans="1:60">
      <c r="A83" s="113" t="s">
        <v>99</v>
      </c>
      <c r="B83" s="113" t="s">
        <v>100</v>
      </c>
      <c r="C83" s="144"/>
      <c r="D83" s="144"/>
      <c r="E83" s="144"/>
      <c r="F83" s="144"/>
      <c r="G83" s="144"/>
      <c r="H83" s="144"/>
      <c r="I83" s="144"/>
      <c r="J83" s="144"/>
      <c r="K83" s="144"/>
      <c r="L83" s="144"/>
      <c r="M83" s="144"/>
      <c r="N83" s="144"/>
      <c r="O83" s="144"/>
      <c r="P83" s="144"/>
      <c r="Q83" s="144"/>
      <c r="R83" s="144"/>
      <c r="S83" s="144"/>
      <c r="T83" s="144"/>
      <c r="U83" s="144"/>
      <c r="V83" s="144"/>
      <c r="W83" s="144"/>
      <c r="X83" s="144"/>
      <c r="Y83" s="144"/>
      <c r="Z83" s="144"/>
      <c r="AA83" s="146">
        <v>-8.5283014900924742E-2</v>
      </c>
      <c r="AB83" s="146">
        <v>-8.0283014900924737E-2</v>
      </c>
      <c r="AC83" s="146">
        <v>-8.8714319740623854E-2</v>
      </c>
      <c r="AD83" s="146">
        <v>-8.6214319740623852E-2</v>
      </c>
      <c r="AE83" s="146">
        <v>-7.4877562163846931E-2</v>
      </c>
      <c r="AF83" s="146">
        <v>-7.387756216384693E-2</v>
      </c>
      <c r="AG83" s="146">
        <v>-6.9307581694044038E-2</v>
      </c>
      <c r="AH83" s="146">
        <v>-6.5307581694044034E-2</v>
      </c>
      <c r="AI83" s="146">
        <v>-7.1283925493095313E-2</v>
      </c>
      <c r="AJ83" s="146">
        <v>-7.0283925493095312E-2</v>
      </c>
      <c r="AK83" s="146">
        <v>-6.3102614357024342E-2</v>
      </c>
      <c r="AL83" s="146">
        <v>-6.2602614357024342E-2</v>
      </c>
      <c r="AM83" s="146">
        <v>-5.2071422652446762E-2</v>
      </c>
      <c r="AN83" s="146">
        <v>-5.1371422652446756E-2</v>
      </c>
      <c r="AO83" s="146">
        <v>-5.1819990339795861E-2</v>
      </c>
      <c r="AP83" s="146">
        <v>-5.031999033979586E-2</v>
      </c>
      <c r="AQ83" s="146">
        <v>-5.0438746488025224E-2</v>
      </c>
      <c r="AR83" s="146">
        <v>-5.0438746488025224E-2</v>
      </c>
      <c r="AS83" s="146">
        <v>-5.0430582505264485E-2</v>
      </c>
      <c r="AT83" s="146">
        <v>-4.9430582505264484E-2</v>
      </c>
      <c r="AU83" s="107"/>
      <c r="AV83" s="107"/>
      <c r="AW83" s="107"/>
      <c r="AX83" s="107"/>
      <c r="AY83" s="107"/>
      <c r="AZ83" s="107"/>
      <c r="BA83" s="108"/>
      <c r="BB83" s="107"/>
      <c r="BC83" s="107"/>
      <c r="BD83" s="107"/>
      <c r="BE83" s="107"/>
      <c r="BF83" s="107"/>
      <c r="BG83" s="107"/>
      <c r="BH83" s="107"/>
    </row>
    <row r="84" spans="1:60">
      <c r="A84" s="113" t="s">
        <v>101</v>
      </c>
      <c r="B84" s="113" t="s">
        <v>102</v>
      </c>
      <c r="C84" s="144"/>
      <c r="D84" s="144"/>
      <c r="E84" s="144"/>
      <c r="F84" s="144"/>
      <c r="G84" s="144"/>
      <c r="H84" s="144"/>
      <c r="I84" s="144"/>
      <c r="J84" s="144"/>
      <c r="K84" s="144"/>
      <c r="L84" s="144"/>
      <c r="M84" s="144"/>
      <c r="N84" s="144"/>
      <c r="O84" s="144"/>
      <c r="P84" s="144"/>
      <c r="Q84" s="144"/>
      <c r="R84" s="144"/>
      <c r="S84" s="144"/>
      <c r="T84" s="144"/>
      <c r="U84" s="144"/>
      <c r="V84" s="144"/>
      <c r="W84" s="144"/>
      <c r="X84" s="144"/>
      <c r="Y84" s="144"/>
      <c r="Z84" s="144"/>
      <c r="AA84" s="146">
        <v>0.17</v>
      </c>
      <c r="AB84" s="146">
        <v>0.17500000000000002</v>
      </c>
      <c r="AC84" s="146">
        <v>0.17750000000000002</v>
      </c>
      <c r="AD84" s="146">
        <v>0.18000000000000002</v>
      </c>
      <c r="AE84" s="146">
        <v>0.18000000000000002</v>
      </c>
      <c r="AF84" s="146">
        <v>0.18100000000000002</v>
      </c>
      <c r="AG84" s="146">
        <v>0.18500000000000003</v>
      </c>
      <c r="AH84" s="146">
        <v>0.18900000000000003</v>
      </c>
      <c r="AI84" s="146">
        <v>0.18600000000000003</v>
      </c>
      <c r="AJ84" s="146">
        <v>0.18700000000000003</v>
      </c>
      <c r="AK84" s="146">
        <v>0.18750000000000003</v>
      </c>
      <c r="AL84" s="146">
        <v>0.18800000000000003</v>
      </c>
      <c r="AM84" s="146">
        <v>0.18870000000000003</v>
      </c>
      <c r="AN84" s="146">
        <v>0.18940000000000004</v>
      </c>
      <c r="AO84" s="146">
        <v>0.19090000000000004</v>
      </c>
      <c r="AP84" s="146">
        <v>0.19240000000000004</v>
      </c>
      <c r="AQ84" s="146">
        <v>0.19240000000000004</v>
      </c>
      <c r="AR84" s="146">
        <v>0.19240000000000004</v>
      </c>
      <c r="AS84" s="146">
        <v>0.19340000000000004</v>
      </c>
      <c r="AT84" s="146">
        <v>0.19440000000000004</v>
      </c>
      <c r="AU84" s="107"/>
      <c r="AV84" s="107"/>
      <c r="AW84" s="107"/>
      <c r="AX84" s="107"/>
      <c r="AY84" s="107"/>
      <c r="AZ84" s="107"/>
      <c r="BA84" s="108"/>
      <c r="BB84" s="107"/>
      <c r="BC84" s="107"/>
      <c r="BD84" s="107"/>
      <c r="BE84" s="107"/>
      <c r="BF84" s="107"/>
      <c r="BG84" s="107"/>
      <c r="BH84" s="107"/>
    </row>
    <row r="85" spans="1:60">
      <c r="A85" s="113" t="s">
        <v>103</v>
      </c>
      <c r="B85" s="113" t="s">
        <v>104</v>
      </c>
      <c r="C85" s="144"/>
      <c r="D85" s="144"/>
      <c r="E85" s="144"/>
      <c r="F85" s="144"/>
      <c r="G85" s="144"/>
      <c r="H85" s="144"/>
      <c r="I85" s="144"/>
      <c r="J85" s="144"/>
      <c r="K85" s="144"/>
      <c r="L85" s="144"/>
      <c r="M85" s="144"/>
      <c r="N85" s="144"/>
      <c r="O85" s="144"/>
      <c r="P85" s="144"/>
      <c r="Q85" s="144"/>
      <c r="R85" s="144"/>
      <c r="S85" s="144"/>
      <c r="T85" s="144"/>
      <c r="U85" s="144"/>
      <c r="V85" s="144"/>
      <c r="W85" s="144"/>
      <c r="X85" s="144"/>
      <c r="Y85" s="144"/>
      <c r="Z85" s="144"/>
      <c r="AA85" s="146">
        <v>0.19313555433892682</v>
      </c>
      <c r="AB85" s="146">
        <v>0.19313555433892682</v>
      </c>
      <c r="AC85" s="146">
        <v>0.19775029848561318</v>
      </c>
      <c r="AD85" s="146">
        <v>0.19775029848561318</v>
      </c>
      <c r="AE85" s="146">
        <v>0.19738571671796856</v>
      </c>
      <c r="AF85" s="146">
        <v>0.19738571671796856</v>
      </c>
      <c r="AG85" s="146">
        <v>0.19678547687735395</v>
      </c>
      <c r="AH85" s="146">
        <v>0.19678547687735395</v>
      </c>
      <c r="AI85" s="146">
        <v>0.20412512617462275</v>
      </c>
      <c r="AJ85" s="146">
        <v>0.20412512617462275</v>
      </c>
      <c r="AK85" s="146">
        <v>0.20588494332962287</v>
      </c>
      <c r="AL85" s="146">
        <v>0.20588494332962287</v>
      </c>
      <c r="AM85" s="146">
        <v>0.20520260295952247</v>
      </c>
      <c r="AN85" s="146">
        <v>0.20721900262116216</v>
      </c>
      <c r="AO85" s="146">
        <v>0.20520260295952247</v>
      </c>
      <c r="AP85" s="146">
        <v>0.20721900262116216</v>
      </c>
      <c r="AQ85" s="146">
        <v>0.20969142014588582</v>
      </c>
      <c r="AR85" s="146">
        <v>0.20969142014588582</v>
      </c>
      <c r="AS85" s="146">
        <v>0.21282906347200575</v>
      </c>
      <c r="AT85" s="146">
        <v>0.21282906347200575</v>
      </c>
      <c r="AU85" s="107"/>
      <c r="AV85" s="107"/>
      <c r="AW85" s="107"/>
      <c r="AX85" s="107"/>
      <c r="AY85" s="107"/>
      <c r="AZ85" s="107"/>
      <c r="BA85" s="108"/>
      <c r="BB85" s="107"/>
      <c r="BC85" s="107"/>
      <c r="BD85" s="107"/>
      <c r="BE85" s="107"/>
      <c r="BF85" s="107"/>
      <c r="BG85" s="107"/>
      <c r="BH85" s="107"/>
    </row>
    <row r="86" spans="1:60">
      <c r="A86" s="113" t="s">
        <v>105</v>
      </c>
      <c r="B86" s="113" t="s">
        <v>106</v>
      </c>
      <c r="C86" s="144"/>
      <c r="D86" s="144"/>
      <c r="E86" s="144"/>
      <c r="F86" s="144"/>
      <c r="G86" s="144"/>
      <c r="H86" s="144"/>
      <c r="I86" s="144"/>
      <c r="J86" s="144"/>
      <c r="K86" s="144"/>
      <c r="L86" s="144"/>
      <c r="M86" s="144"/>
      <c r="N86" s="144"/>
      <c r="O86" s="144"/>
      <c r="P86" s="144"/>
      <c r="Q86" s="144"/>
      <c r="R86" s="144"/>
      <c r="S86" s="144"/>
      <c r="T86" s="144"/>
      <c r="U86" s="144"/>
      <c r="V86" s="144"/>
      <c r="W86" s="144"/>
      <c r="X86" s="144"/>
      <c r="Y86" s="144"/>
      <c r="Z86" s="144"/>
      <c r="AA86" s="146">
        <v>6.2147460561997943E-2</v>
      </c>
      <c r="AB86" s="146">
        <v>6.2147460561997943E-2</v>
      </c>
      <c r="AC86" s="146">
        <v>6.8464021255010693E-2</v>
      </c>
      <c r="AD86" s="146">
        <v>6.8464021255010693E-2</v>
      </c>
      <c r="AE86" s="146">
        <v>5.749184544587839E-2</v>
      </c>
      <c r="AF86" s="146">
        <v>5.749184544587839E-2</v>
      </c>
      <c r="AG86" s="146">
        <v>5.7522104816690109E-2</v>
      </c>
      <c r="AH86" s="146">
        <v>5.7522104816690109E-2</v>
      </c>
      <c r="AI86" s="146">
        <v>5.3158799318472595E-2</v>
      </c>
      <c r="AJ86" s="146">
        <v>5.3158799318472595E-2</v>
      </c>
      <c r="AK86" s="146">
        <v>4.4717671027401498E-2</v>
      </c>
      <c r="AL86" s="146">
        <v>4.4717671027401498E-2</v>
      </c>
      <c r="AM86" s="146">
        <v>3.5568819692924324E-2</v>
      </c>
      <c r="AN86" s="146">
        <v>3.5568819692924324E-2</v>
      </c>
      <c r="AO86" s="146">
        <v>3.5500987718633741E-2</v>
      </c>
      <c r="AP86" s="146">
        <v>3.5500987718633741E-2</v>
      </c>
      <c r="AQ86" s="146">
        <v>3.3147326342139447E-2</v>
      </c>
      <c r="AR86" s="146">
        <v>3.3147326342139447E-2</v>
      </c>
      <c r="AS86" s="146">
        <v>3.1001519033258772E-2</v>
      </c>
      <c r="AT86" s="146">
        <v>3.1001519033258772E-2</v>
      </c>
      <c r="AU86" s="107"/>
      <c r="AV86" s="107"/>
      <c r="AW86" s="107"/>
      <c r="AX86" s="107"/>
      <c r="AY86" s="107"/>
      <c r="AZ86" s="107"/>
      <c r="BA86" s="108"/>
      <c r="BB86" s="107"/>
      <c r="BC86" s="107"/>
      <c r="BD86" s="107"/>
      <c r="BE86" s="107"/>
      <c r="BF86" s="107"/>
      <c r="BG86" s="107"/>
      <c r="BH86" s="107"/>
    </row>
    <row r="87" spans="1:60">
      <c r="A87" s="113" t="s">
        <v>113</v>
      </c>
      <c r="B87" s="119" t="s">
        <v>138</v>
      </c>
      <c r="C87" s="144"/>
      <c r="D87" s="144"/>
      <c r="E87" s="144"/>
      <c r="F87" s="144"/>
      <c r="G87" s="144"/>
      <c r="H87" s="144"/>
      <c r="I87" s="144"/>
      <c r="J87" s="144"/>
      <c r="K87" s="144"/>
      <c r="L87" s="144"/>
      <c r="M87" s="144"/>
      <c r="N87" s="144"/>
      <c r="O87" s="144"/>
      <c r="P87" s="144"/>
      <c r="Q87" s="144"/>
      <c r="R87" s="144"/>
      <c r="S87" s="144"/>
      <c r="T87" s="144"/>
      <c r="U87" s="144"/>
      <c r="V87" s="144"/>
      <c r="W87" s="144"/>
      <c r="X87" s="144"/>
      <c r="Y87" s="144"/>
      <c r="Z87" s="144"/>
      <c r="AA87" s="146">
        <v>4.2294792912625521E-2</v>
      </c>
      <c r="AB87" s="146">
        <v>5.5308575347279523E-2</v>
      </c>
      <c r="AC87" s="146">
        <v>7.4829248999260523E-2</v>
      </c>
      <c r="AD87" s="146">
        <v>8.4589585825251043E-2</v>
      </c>
      <c r="AE87" s="146">
        <v>8.4589585825251043E-2</v>
      </c>
      <c r="AF87" s="146">
        <v>7.4829248999260523E-2</v>
      </c>
      <c r="AG87" s="146">
        <v>5.5308575347279523E-2</v>
      </c>
      <c r="AH87" s="146">
        <v>4.2294792912625521E-2</v>
      </c>
      <c r="AI87" s="146">
        <v>4.124610152328733E-2</v>
      </c>
      <c r="AJ87" s="146">
        <v>4.124610152328733E-2</v>
      </c>
      <c r="AK87" s="146">
        <v>4.124610152328733E-2</v>
      </c>
      <c r="AL87" s="146">
        <v>4.124610152328733E-2</v>
      </c>
      <c r="AM87" s="146"/>
      <c r="AN87" s="146"/>
      <c r="AO87" s="146"/>
      <c r="AP87" s="146"/>
      <c r="AQ87" s="146"/>
      <c r="AR87" s="146"/>
      <c r="AS87" s="146"/>
      <c r="AT87" s="146"/>
      <c r="AU87" s="107"/>
      <c r="AV87" s="107"/>
      <c r="AW87" s="107"/>
      <c r="AX87" s="107"/>
      <c r="AY87" s="107"/>
      <c r="AZ87" s="107"/>
      <c r="BA87" s="108"/>
      <c r="BB87" s="107"/>
      <c r="BC87" s="107"/>
      <c r="BD87" s="107"/>
      <c r="BE87" s="107"/>
      <c r="BF87" s="107"/>
      <c r="BG87" s="107"/>
      <c r="BH87" s="107"/>
    </row>
    <row r="88" spans="1:60">
      <c r="B88" s="112" t="s">
        <v>111</v>
      </c>
    </row>
    <row r="90" spans="1:60">
      <c r="AH90" s="127" t="s">
        <v>128</v>
      </c>
    </row>
    <row r="91" spans="1:60" ht="18">
      <c r="B91" s="128" t="s">
        <v>130</v>
      </c>
      <c r="AH91" s="123" t="s">
        <v>7</v>
      </c>
      <c r="AI91" s="123" t="s">
        <v>8</v>
      </c>
      <c r="AJ91" s="123" t="s">
        <v>9</v>
      </c>
      <c r="AK91" s="123" t="s">
        <v>10</v>
      </c>
      <c r="AL91" s="123" t="s">
        <v>11</v>
      </c>
      <c r="AM91" s="123" t="s">
        <v>12</v>
      </c>
      <c r="AN91" s="123" t="s">
        <v>13</v>
      </c>
      <c r="AO91" s="123" t="s">
        <v>14</v>
      </c>
      <c r="AP91" s="123" t="s">
        <v>15</v>
      </c>
      <c r="AQ91" s="123" t="s">
        <v>16</v>
      </c>
      <c r="AR91" s="123" t="s">
        <v>17</v>
      </c>
      <c r="AS91" s="123" t="s">
        <v>18</v>
      </c>
    </row>
    <row r="92" spans="1:60">
      <c r="B92" s="99" t="s">
        <v>98</v>
      </c>
      <c r="AH92" s="123">
        <v>2019</v>
      </c>
      <c r="AI92" s="123">
        <v>2020</v>
      </c>
      <c r="AJ92" s="123">
        <v>2021</v>
      </c>
      <c r="AK92" s="123">
        <v>2022</v>
      </c>
      <c r="AL92" s="123">
        <v>2023</v>
      </c>
      <c r="AM92" s="123">
        <v>2024</v>
      </c>
      <c r="AN92" s="123">
        <v>2025</v>
      </c>
      <c r="AO92" s="123">
        <v>2026</v>
      </c>
      <c r="AP92" s="123">
        <v>2027</v>
      </c>
      <c r="AQ92" s="123">
        <v>2028</v>
      </c>
      <c r="AR92" s="123">
        <v>2029</v>
      </c>
      <c r="AS92" s="123">
        <v>2030</v>
      </c>
    </row>
    <row r="93" spans="1:60" ht="15.25">
      <c r="A93" t="s">
        <v>115</v>
      </c>
      <c r="B93" s="124" t="s">
        <v>116</v>
      </c>
      <c r="C93" s="144"/>
      <c r="D93" s="144"/>
      <c r="E93" s="144"/>
      <c r="F93" s="144"/>
      <c r="G93" s="144"/>
      <c r="H93" s="144"/>
      <c r="I93" s="144"/>
      <c r="J93" s="144"/>
      <c r="K93" s="144"/>
      <c r="L93" s="144"/>
      <c r="M93" s="144"/>
      <c r="N93" s="144"/>
      <c r="O93" s="144"/>
      <c r="P93" s="144"/>
      <c r="Q93" s="144"/>
      <c r="R93" s="144"/>
      <c r="S93" s="144"/>
      <c r="T93" s="144"/>
      <c r="U93" s="144"/>
      <c r="V93" s="144"/>
      <c r="W93" s="144"/>
      <c r="X93" s="144"/>
      <c r="Y93" s="144"/>
      <c r="Z93" s="144"/>
      <c r="AA93" s="144"/>
      <c r="AB93" s="144"/>
      <c r="AC93" s="144"/>
      <c r="AD93" s="144"/>
      <c r="AE93" s="144"/>
      <c r="AF93" s="144"/>
      <c r="AG93" s="144"/>
      <c r="AH93" s="144">
        <f t="shared" ref="AH93:AH100" si="43">+T17</f>
        <v>8717</v>
      </c>
      <c r="AI93" s="122">
        <f t="shared" ref="AI93:AI100" si="44">+W17</f>
        <v>9386</v>
      </c>
      <c r="AJ93" s="122">
        <f t="shared" ref="AJ93:AJ100" si="45">+Z17</f>
        <v>10270</v>
      </c>
      <c r="AK93" s="122">
        <f t="shared" ref="AK93:AK100" si="46">+AC17</f>
        <v>11988</v>
      </c>
      <c r="AL93" s="122">
        <f t="shared" ref="AL93:AL100" si="47">+AF17</f>
        <v>15293</v>
      </c>
      <c r="AM93" s="122">
        <f t="shared" ref="AM93:AM100" si="48">+AI17</f>
        <v>18370</v>
      </c>
      <c r="AN93" s="122">
        <f t="shared" ref="AN93:AN100" si="49">+AL17</f>
        <v>21512</v>
      </c>
      <c r="AO93" s="122">
        <f t="shared" ref="AO93:AO100" si="50">+AO17</f>
        <v>25438.689538644801</v>
      </c>
      <c r="AP93" s="122">
        <f t="shared" ref="AP93:AP100" si="51">+AR17</f>
        <v>29369.757095233574</v>
      </c>
      <c r="AQ93" s="122">
        <f t="shared" ref="AQ93:AQ100" si="52">+AU17</f>
        <v>33169.24007281223</v>
      </c>
      <c r="AR93" s="122">
        <f t="shared" ref="AR93:AR100" si="53">+AX17</f>
        <v>37258.037027547092</v>
      </c>
      <c r="AS93" s="122">
        <f t="shared" ref="AS93:AS100" si="54">+BA17</f>
        <v>41864.175384566093</v>
      </c>
    </row>
    <row r="94" spans="1:60" ht="15.25">
      <c r="A94" t="s">
        <v>117</v>
      </c>
      <c r="B94" s="124" t="s">
        <v>102</v>
      </c>
      <c r="C94" s="144"/>
      <c r="D94" s="144"/>
      <c r="E94" s="144"/>
      <c r="F94" s="144"/>
      <c r="G94" s="144"/>
      <c r="H94" s="144"/>
      <c r="I94" s="144"/>
      <c r="J94" s="144"/>
      <c r="K94" s="144"/>
      <c r="L94" s="144"/>
      <c r="M94" s="144"/>
      <c r="N94" s="144"/>
      <c r="O94" s="144"/>
      <c r="P94" s="144"/>
      <c r="Q94" s="144"/>
      <c r="R94" s="144"/>
      <c r="S94" s="144"/>
      <c r="T94" s="144"/>
      <c r="U94" s="144"/>
      <c r="V94" s="144"/>
      <c r="W94" s="144"/>
      <c r="X94" s="144"/>
      <c r="Y94" s="144"/>
      <c r="Z94" s="144"/>
      <c r="AA94" s="144"/>
      <c r="AB94" s="144"/>
      <c r="AC94" s="144"/>
      <c r="AD94" s="144"/>
      <c r="AE94" s="144"/>
      <c r="AF94" s="144"/>
      <c r="AG94" s="144"/>
      <c r="AH94" s="145">
        <f t="shared" si="43"/>
        <v>0.1916114848665281</v>
      </c>
      <c r="AI94" s="139">
        <f t="shared" si="44"/>
        <v>0.18702357332148148</v>
      </c>
      <c r="AJ94" s="139">
        <f t="shared" si="45"/>
        <v>0.19543359584099371</v>
      </c>
      <c r="AK94" s="139">
        <f t="shared" si="46"/>
        <v>0.1900232437362214</v>
      </c>
      <c r="AL94" s="139">
        <f t="shared" si="47"/>
        <v>0.17578368781216153</v>
      </c>
      <c r="AM94" s="139">
        <f t="shared" si="48"/>
        <v>0.16621322548390918</v>
      </c>
      <c r="AN94" s="139">
        <f t="shared" si="49"/>
        <v>0.16546014323811883</v>
      </c>
      <c r="AO94" s="139">
        <f t="shared" si="50"/>
        <v>0.17068123664546117</v>
      </c>
      <c r="AP94" s="139">
        <f t="shared" si="51"/>
        <v>0.17567006181604009</v>
      </c>
      <c r="AQ94" s="139">
        <f t="shared" si="52"/>
        <v>0.17945087442944885</v>
      </c>
      <c r="AR94" s="139">
        <f t="shared" si="53"/>
        <v>0.18184780144946874</v>
      </c>
      <c r="AS94" s="139">
        <f t="shared" si="54"/>
        <v>0.1837132479006178</v>
      </c>
    </row>
    <row r="95" spans="1:60" ht="15.25">
      <c r="A95" t="s">
        <v>118</v>
      </c>
      <c r="B95" s="124" t="s">
        <v>104</v>
      </c>
      <c r="C95" s="144"/>
      <c r="D95" s="144"/>
      <c r="E95" s="144"/>
      <c r="F95" s="144"/>
      <c r="G95" s="144"/>
      <c r="H95" s="144"/>
      <c r="I95" s="144"/>
      <c r="J95" s="144"/>
      <c r="K95" s="144"/>
      <c r="L95" s="144"/>
      <c r="M95" s="144"/>
      <c r="N95" s="144"/>
      <c r="O95" s="144"/>
      <c r="P95" s="144"/>
      <c r="Q95" s="144"/>
      <c r="R95" s="144"/>
      <c r="S95" s="144"/>
      <c r="T95" s="144"/>
      <c r="U95" s="144"/>
      <c r="V95" s="144"/>
      <c r="W95" s="144"/>
      <c r="X95" s="144"/>
      <c r="Y95" s="144"/>
      <c r="Z95" s="144"/>
      <c r="AA95" s="144"/>
      <c r="AB95" s="144"/>
      <c r="AC95" s="144"/>
      <c r="AD95" s="144"/>
      <c r="AE95" s="144"/>
      <c r="AF95" s="144"/>
      <c r="AG95" s="144"/>
      <c r="AH95" s="145">
        <f t="shared" si="43"/>
        <v>0.26169584838513593</v>
      </c>
      <c r="AI95" s="139">
        <f t="shared" si="44"/>
        <v>0.26811145968691313</v>
      </c>
      <c r="AJ95" s="139">
        <f t="shared" si="45"/>
        <v>0.27570065921784898</v>
      </c>
      <c r="AK95" s="139">
        <f t="shared" si="46"/>
        <v>0.28377582490937286</v>
      </c>
      <c r="AL95" s="139">
        <f t="shared" si="47"/>
        <v>0.24368260292576732</v>
      </c>
      <c r="AM95" s="139">
        <f t="shared" si="48"/>
        <v>0.22612197687473534</v>
      </c>
      <c r="AN95" s="139">
        <f t="shared" si="49"/>
        <v>0.20053719230054018</v>
      </c>
      <c r="AO95" s="139">
        <f t="shared" si="50"/>
        <v>0.18969336078924343</v>
      </c>
      <c r="AP95" s="139">
        <f t="shared" si="51"/>
        <v>0.18484808492979496</v>
      </c>
      <c r="AQ95" s="139">
        <f t="shared" si="52"/>
        <v>0.18994012674333088</v>
      </c>
      <c r="AR95" s="139">
        <f t="shared" si="53"/>
        <v>0.19447011393626176</v>
      </c>
      <c r="AS95" s="139">
        <f t="shared" si="54"/>
        <v>0.19760316763230795</v>
      </c>
    </row>
    <row r="96" spans="1:60" ht="15.25">
      <c r="A96" t="s">
        <v>119</v>
      </c>
      <c r="B96" s="124" t="s">
        <v>106</v>
      </c>
      <c r="C96" s="144"/>
      <c r="D96" s="144"/>
      <c r="E96" s="144"/>
      <c r="F96" s="144"/>
      <c r="G96" s="144"/>
      <c r="H96" s="144"/>
      <c r="I96" s="144"/>
      <c r="J96" s="144"/>
      <c r="K96" s="144"/>
      <c r="L96" s="144"/>
      <c r="M96" s="144"/>
      <c r="N96" s="144"/>
      <c r="O96" s="144"/>
      <c r="P96" s="144"/>
      <c r="Q96" s="144"/>
      <c r="R96" s="144"/>
      <c r="S96" s="144"/>
      <c r="T96" s="144"/>
      <c r="U96" s="144"/>
      <c r="V96" s="144"/>
      <c r="W96" s="144"/>
      <c r="X96" s="144"/>
      <c r="Y96" s="144"/>
      <c r="Z96" s="144"/>
      <c r="AA96" s="144"/>
      <c r="AB96" s="144"/>
      <c r="AC96" s="144"/>
      <c r="AD96" s="144"/>
      <c r="AE96" s="144"/>
      <c r="AF96" s="144"/>
      <c r="AG96" s="144"/>
      <c r="AH96" s="145">
        <f t="shared" si="43"/>
        <v>3.7892348958031279E-2</v>
      </c>
      <c r="AI96" s="139">
        <f t="shared" si="44"/>
        <v>5.554899616503936E-2</v>
      </c>
      <c r="AJ96" s="139">
        <f t="shared" si="45"/>
        <v>5.799892642515142E-2</v>
      </c>
      <c r="AK96" s="139">
        <f t="shared" si="46"/>
        <v>6.8076853525863817E-2</v>
      </c>
      <c r="AL96" s="139">
        <f t="shared" si="47"/>
        <v>5.165212628627943E-2</v>
      </c>
      <c r="AM96" s="139">
        <f t="shared" si="48"/>
        <v>4.8202428466411949E-2</v>
      </c>
      <c r="AN96" s="139">
        <f t="shared" si="49"/>
        <v>4.8267929014096267E-2</v>
      </c>
      <c r="AO96" s="139">
        <f t="shared" si="50"/>
        <v>6.4386587928884811E-2</v>
      </c>
      <c r="AP96" s="139">
        <f t="shared" si="51"/>
        <v>5.7523739960376706E-2</v>
      </c>
      <c r="AQ96" s="139">
        <f t="shared" si="52"/>
        <v>4.926056904910843E-2</v>
      </c>
      <c r="AR96" s="139">
        <f t="shared" si="53"/>
        <v>3.412836090765143E-2</v>
      </c>
      <c r="AS96" s="139">
        <f t="shared" si="54"/>
        <v>3.1821150506475437E-2</v>
      </c>
    </row>
    <row r="97" spans="1:45" ht="15.25">
      <c r="A97" t="s">
        <v>120</v>
      </c>
      <c r="B97" s="124" t="s">
        <v>60</v>
      </c>
      <c r="C97" s="144"/>
      <c r="D97" s="144"/>
      <c r="E97" s="144"/>
      <c r="F97" s="144"/>
      <c r="G97" s="144"/>
      <c r="H97" s="144"/>
      <c r="I97" s="144"/>
      <c r="J97" s="144"/>
      <c r="K97" s="144"/>
      <c r="L97" s="144"/>
      <c r="M97" s="144"/>
      <c r="N97" s="144"/>
      <c r="O97" s="144"/>
      <c r="P97" s="144"/>
      <c r="Q97" s="144"/>
      <c r="R97" s="144"/>
      <c r="S97" s="144"/>
      <c r="T97" s="144"/>
      <c r="U97" s="144"/>
      <c r="V97" s="144"/>
      <c r="W97" s="144"/>
      <c r="X97" s="144"/>
      <c r="Y97" s="144"/>
      <c r="Z97" s="144"/>
      <c r="AA97" s="144"/>
      <c r="AB97" s="144"/>
      <c r="AC97" s="144"/>
      <c r="AD97" s="144"/>
      <c r="AE97" s="144"/>
      <c r="AF97" s="144"/>
      <c r="AG97" s="144"/>
      <c r="AH97" s="145">
        <f t="shared" si="43"/>
        <v>0</v>
      </c>
      <c r="AI97" s="139">
        <f t="shared" si="44"/>
        <v>0</v>
      </c>
      <c r="AJ97" s="139">
        <f t="shared" si="45"/>
        <v>0</v>
      </c>
      <c r="AK97" s="139">
        <f t="shared" si="46"/>
        <v>1.3090635215799132E-2</v>
      </c>
      <c r="AL97" s="139">
        <f t="shared" si="47"/>
        <v>9.2483598135074847E-3</v>
      </c>
      <c r="AM97" s="139">
        <f t="shared" si="48"/>
        <v>6.0645533107784432E-3</v>
      </c>
      <c r="AN97" s="139">
        <f t="shared" si="49"/>
        <v>7.6216379010740978E-3</v>
      </c>
      <c r="AO97" s="139">
        <f t="shared" si="50"/>
        <v>2.3297015345143956E-2</v>
      </c>
      <c r="AP97" s="139">
        <f t="shared" si="51"/>
        <v>1.7253210123770641E-2</v>
      </c>
      <c r="AQ97" s="139">
        <f t="shared" si="52"/>
        <v>1.2361619233427705E-2</v>
      </c>
      <c r="AR97" s="139">
        <f t="shared" si="53"/>
        <v>1.8790335980991273E-3</v>
      </c>
      <c r="AS97" s="139">
        <f t="shared" si="54"/>
        <v>1.5712705516276993E-3</v>
      </c>
    </row>
    <row r="98" spans="1:45" ht="15.25">
      <c r="A98" t="s">
        <v>121</v>
      </c>
      <c r="B98" s="124" t="s">
        <v>61</v>
      </c>
      <c r="C98" s="144"/>
      <c r="D98" s="144"/>
      <c r="E98" s="144"/>
      <c r="F98" s="144"/>
      <c r="G98" s="144"/>
      <c r="H98" s="144"/>
      <c r="I98" s="144"/>
      <c r="J98" s="144"/>
      <c r="K98" s="144"/>
      <c r="L98" s="144"/>
      <c r="M98" s="144"/>
      <c r="N98" s="144"/>
      <c r="O98" s="144"/>
      <c r="P98" s="144"/>
      <c r="Q98" s="144"/>
      <c r="R98" s="144"/>
      <c r="S98" s="144"/>
      <c r="T98" s="144"/>
      <c r="U98" s="144"/>
      <c r="V98" s="144"/>
      <c r="W98" s="144"/>
      <c r="X98" s="144"/>
      <c r="Y98" s="144"/>
      <c r="Z98" s="144"/>
      <c r="AA98" s="144"/>
      <c r="AB98" s="144"/>
      <c r="AC98" s="144"/>
      <c r="AD98" s="144"/>
      <c r="AE98" s="144"/>
      <c r="AF98" s="144"/>
      <c r="AG98" s="144"/>
      <c r="AH98" s="145">
        <f t="shared" si="43"/>
        <v>0</v>
      </c>
      <c r="AI98" s="139">
        <f t="shared" si="44"/>
        <v>0</v>
      </c>
      <c r="AJ98" s="139">
        <f t="shared" si="45"/>
        <v>0</v>
      </c>
      <c r="AK98" s="139">
        <f t="shared" si="46"/>
        <v>1.9175438915582249E-3</v>
      </c>
      <c r="AL98" s="139">
        <f t="shared" si="47"/>
        <v>1.5060255678414961E-3</v>
      </c>
      <c r="AM98" s="139">
        <f t="shared" si="48"/>
        <v>1.0710367413173654E-3</v>
      </c>
      <c r="AN98" s="139">
        <f t="shared" si="49"/>
        <v>1.6804617246653031E-3</v>
      </c>
      <c r="AO98" s="139">
        <f t="shared" si="50"/>
        <v>2.0894568673691005E-2</v>
      </c>
      <c r="AP98" s="139">
        <f t="shared" si="51"/>
        <v>1.6146498790072593E-2</v>
      </c>
      <c r="AQ98" s="139">
        <f t="shared" si="52"/>
        <v>1.1455952389265573E-2</v>
      </c>
      <c r="AR98" s="139">
        <f t="shared" si="53"/>
        <v>1.0727570635144033E-3</v>
      </c>
      <c r="AS98" s="139">
        <f t="shared" si="54"/>
        <v>8.8114602222752578E-4</v>
      </c>
    </row>
    <row r="99" spans="1:45" ht="15.25">
      <c r="A99" t="s">
        <v>122</v>
      </c>
      <c r="B99" s="124" t="s">
        <v>123</v>
      </c>
      <c r="C99" s="144"/>
      <c r="D99" s="144"/>
      <c r="E99" s="144"/>
      <c r="F99" s="144"/>
      <c r="G99" s="144"/>
      <c r="H99" s="144"/>
      <c r="I99" s="144"/>
      <c r="J99" s="144"/>
      <c r="K99" s="144"/>
      <c r="L99" s="144"/>
      <c r="M99" s="144"/>
      <c r="N99" s="144"/>
      <c r="O99" s="144"/>
      <c r="P99" s="144"/>
      <c r="Q99" s="144"/>
      <c r="R99" s="144"/>
      <c r="S99" s="144"/>
      <c r="T99" s="144"/>
      <c r="U99" s="144"/>
      <c r="V99" s="144"/>
      <c r="W99" s="144"/>
      <c r="X99" s="144"/>
      <c r="Y99" s="144"/>
      <c r="Z99" s="144"/>
      <c r="AA99" s="144"/>
      <c r="AB99" s="144"/>
      <c r="AC99" s="144"/>
      <c r="AD99" s="144"/>
      <c r="AE99" s="144"/>
      <c r="AF99" s="144"/>
      <c r="AG99" s="144"/>
      <c r="AH99" s="145">
        <f t="shared" si="43"/>
        <v>0.29958819734316722</v>
      </c>
      <c r="AI99" s="139">
        <f t="shared" si="44"/>
        <v>0.32366045585195247</v>
      </c>
      <c r="AJ99" s="139">
        <f t="shared" si="45"/>
        <v>0.33670696675965084</v>
      </c>
      <c r="AK99" s="139">
        <f t="shared" si="46"/>
        <v>0.35185267843523671</v>
      </c>
      <c r="AL99" s="139">
        <f t="shared" si="47"/>
        <v>0.29533472921204673</v>
      </c>
      <c r="AM99" s="139">
        <f t="shared" si="48"/>
        <v>0.27432440534114733</v>
      </c>
      <c r="AN99" s="139">
        <f t="shared" si="49"/>
        <v>0.24880512131463645</v>
      </c>
      <c r="AO99" s="139">
        <f t="shared" si="50"/>
        <v>0.25418213540203943</v>
      </c>
      <c r="AP99" s="139">
        <f t="shared" si="51"/>
        <v>0.24237182489017162</v>
      </c>
      <c r="AQ99" s="139">
        <f t="shared" si="52"/>
        <v>0.2392006957924393</v>
      </c>
      <c r="AR99" s="139">
        <f t="shared" si="53"/>
        <v>0.22859847484391321</v>
      </c>
      <c r="AS99" s="139">
        <f t="shared" si="54"/>
        <v>0.22942431813878342</v>
      </c>
    </row>
    <row r="100" spans="1:45" ht="15.25">
      <c r="A100" t="s">
        <v>124</v>
      </c>
      <c r="B100" s="124" t="s">
        <v>100</v>
      </c>
      <c r="C100" s="144"/>
      <c r="D100" s="144"/>
      <c r="E100" s="144"/>
      <c r="F100" s="144"/>
      <c r="G100" s="144"/>
      <c r="H100" s="144"/>
      <c r="I100" s="144"/>
      <c r="J100" s="144"/>
      <c r="K100" s="144"/>
      <c r="L100" s="144"/>
      <c r="M100" s="144"/>
      <c r="N100" s="144"/>
      <c r="O100" s="144"/>
      <c r="P100" s="144"/>
      <c r="Q100" s="144"/>
      <c r="R100" s="144"/>
      <c r="S100" s="144"/>
      <c r="T100" s="144"/>
      <c r="U100" s="144"/>
      <c r="V100" s="144"/>
      <c r="W100" s="144"/>
      <c r="X100" s="144"/>
      <c r="Y100" s="144"/>
      <c r="Z100" s="144"/>
      <c r="AA100" s="144"/>
      <c r="AB100" s="144"/>
      <c r="AC100" s="144"/>
      <c r="AD100" s="144"/>
      <c r="AE100" s="144"/>
      <c r="AF100" s="144"/>
      <c r="AG100" s="144"/>
      <c r="AH100" s="145">
        <f t="shared" si="43"/>
        <v>-0.10797671247663906</v>
      </c>
      <c r="AI100" s="139">
        <f t="shared" si="44"/>
        <v>-0.13663688253047099</v>
      </c>
      <c r="AJ100" s="139">
        <f t="shared" si="45"/>
        <v>-0.14127337091865713</v>
      </c>
      <c r="AK100" s="139">
        <f t="shared" si="46"/>
        <v>-0.16182943469901528</v>
      </c>
      <c r="AL100" s="139">
        <f t="shared" si="47"/>
        <v>-0.11955104139988525</v>
      </c>
      <c r="AM100" s="139">
        <f t="shared" si="48"/>
        <v>-0.10811117985723813</v>
      </c>
      <c r="AN100" s="139">
        <f t="shared" si="49"/>
        <v>-8.3344978076517584E-2</v>
      </c>
      <c r="AO100" s="139">
        <f t="shared" si="50"/>
        <v>-8.3398712072667039E-2</v>
      </c>
      <c r="AP100" s="139">
        <f t="shared" si="51"/>
        <v>-6.6701763074131545E-2</v>
      </c>
      <c r="AQ100" s="139">
        <f t="shared" si="52"/>
        <v>-5.9749821362990459E-2</v>
      </c>
      <c r="AR100" s="139">
        <f t="shared" si="53"/>
        <v>-4.6750673394444477E-2</v>
      </c>
      <c r="AS100" s="139">
        <f t="shared" si="54"/>
        <v>-4.5711070238165626E-2</v>
      </c>
    </row>
    <row r="102" spans="1:45">
      <c r="B102" s="99" t="s">
        <v>125</v>
      </c>
      <c r="AH102" s="127" t="s">
        <v>129</v>
      </c>
    </row>
    <row r="103" spans="1:45" ht="14.5">
      <c r="A103" s="113" t="s">
        <v>115</v>
      </c>
      <c r="B103" s="114" t="s">
        <v>116</v>
      </c>
      <c r="AH103" s="125">
        <v>8717</v>
      </c>
      <c r="AI103" s="125">
        <v>9386</v>
      </c>
      <c r="AJ103" s="125">
        <v>10270</v>
      </c>
      <c r="AK103" s="125">
        <v>11988</v>
      </c>
      <c r="AL103" s="125">
        <v>15293</v>
      </c>
      <c r="AM103" s="125">
        <v>18370</v>
      </c>
      <c r="AN103" s="125">
        <v>21512</v>
      </c>
      <c r="AO103" s="125">
        <v>24413.458908105418</v>
      </c>
      <c r="AP103" s="125">
        <v>27691.924366452891</v>
      </c>
      <c r="AQ103" s="125">
        <v>31146.35765766909</v>
      </c>
      <c r="AR103" s="125">
        <v>34913.865199038082</v>
      </c>
      <c r="AS103" s="125">
        <v>39154.682745506419</v>
      </c>
    </row>
    <row r="104" spans="1:45">
      <c r="A104" s="113" t="s">
        <v>117</v>
      </c>
      <c r="B104" s="113" t="s">
        <v>102</v>
      </c>
      <c r="AH104" s="126">
        <v>0.1916114848665281</v>
      </c>
      <c r="AI104" s="126">
        <v>0.19565371329252165</v>
      </c>
      <c r="AJ104" s="126">
        <v>0.19841380690425825</v>
      </c>
      <c r="AK104" s="126">
        <v>0.1900232437362214</v>
      </c>
      <c r="AL104" s="126">
        <v>0.17578368781216153</v>
      </c>
      <c r="AM104" s="126">
        <v>0.16621322548390918</v>
      </c>
      <c r="AN104" s="126">
        <v>0.16546014323811883</v>
      </c>
      <c r="AO104" s="126">
        <v>0.17626652465618078</v>
      </c>
      <c r="AP104" s="126">
        <v>0.18383799968178346</v>
      </c>
      <c r="AQ104" s="126">
        <v>0.18786735635011592</v>
      </c>
      <c r="AR104" s="126">
        <v>0.18985626615967205</v>
      </c>
      <c r="AS104" s="126">
        <v>0.19254613324113448</v>
      </c>
    </row>
    <row r="105" spans="1:45">
      <c r="A105" s="113" t="s">
        <v>118</v>
      </c>
      <c r="B105" s="113" t="s">
        <v>104</v>
      </c>
      <c r="AH105" s="126">
        <v>0.26169584838513593</v>
      </c>
      <c r="AI105" s="126">
        <v>0.19221900262116215</v>
      </c>
      <c r="AJ105" s="126">
        <v>0.19782906347200577</v>
      </c>
      <c r="AK105" s="126">
        <v>0.28377582490937286</v>
      </c>
      <c r="AL105" s="126">
        <v>0.24368260292576732</v>
      </c>
      <c r="AM105" s="126">
        <v>0.22612197687473534</v>
      </c>
      <c r="AN105" s="126">
        <v>0.20053719230054018</v>
      </c>
      <c r="AO105" s="126">
        <v>0.19544292641226998</v>
      </c>
      <c r="AP105" s="126">
        <v>0.19708559679766124</v>
      </c>
      <c r="AQ105" s="126">
        <v>0.20500503475212281</v>
      </c>
      <c r="AR105" s="126">
        <v>0.20621080279034229</v>
      </c>
      <c r="AS105" s="126">
        <v>0.21126024180894573</v>
      </c>
    </row>
    <row r="106" spans="1:45">
      <c r="A106" s="113" t="s">
        <v>119</v>
      </c>
      <c r="B106" s="113" t="s">
        <v>106</v>
      </c>
      <c r="AH106" s="126">
        <v>3.7892348958031279E-2</v>
      </c>
      <c r="AI106" s="126">
        <v>3.5500987718633741E-2</v>
      </c>
      <c r="AJ106" s="126">
        <v>3.1001519033258772E-2</v>
      </c>
      <c r="AK106" s="126">
        <v>6.8076853525863817E-2</v>
      </c>
      <c r="AL106" s="126">
        <v>5.165212628627943E-2</v>
      </c>
      <c r="AM106" s="126">
        <v>4.8202428466411949E-2</v>
      </c>
      <c r="AN106" s="126">
        <v>4.8267929014096267E-2</v>
      </c>
      <c r="AO106" s="126">
        <v>6.5305740908504314E-2</v>
      </c>
      <c r="AP106" s="126">
        <v>5.7506975131284256E-2</v>
      </c>
      <c r="AQ106" s="126">
        <v>4.8938235172937043E-2</v>
      </c>
      <c r="AR106" s="126">
        <v>3.5534903705779032E-2</v>
      </c>
      <c r="AS106" s="126">
        <v>3.2074422687699104E-2</v>
      </c>
    </row>
    <row r="107" spans="1:45">
      <c r="A107" s="113" t="s">
        <v>120</v>
      </c>
      <c r="B107" s="113" t="s">
        <v>126</v>
      </c>
      <c r="AH107" s="126">
        <v>0</v>
      </c>
      <c r="AI107" s="126">
        <v>2.0426379304576284E-3</v>
      </c>
      <c r="AJ107" s="126">
        <v>1.7328784205783835E-3</v>
      </c>
      <c r="AK107" s="126">
        <v>1.3090635215799132E-2</v>
      </c>
      <c r="AL107" s="126">
        <v>9.2483598135074847E-3</v>
      </c>
      <c r="AM107" s="126">
        <v>6.0645533107784432E-3</v>
      </c>
      <c r="AN107" s="126">
        <v>7.6216379010740978E-3</v>
      </c>
      <c r="AO107" s="126">
        <v>2.426235405315183E-2</v>
      </c>
      <c r="AP107" s="126">
        <v>1.8456095568033321E-2</v>
      </c>
      <c r="AQ107" s="126">
        <v>1.3338318225031951E-2</v>
      </c>
      <c r="AR107" s="126">
        <v>2.0068315060444027E-3</v>
      </c>
      <c r="AS107" s="126">
        <v>1.6801053432437812E-3</v>
      </c>
    </row>
    <row r="108" spans="1:45">
      <c r="A108" s="113" t="s">
        <v>121</v>
      </c>
      <c r="B108" s="119" t="s">
        <v>127</v>
      </c>
      <c r="AH108" s="126">
        <v>0</v>
      </c>
      <c r="AI108" s="126">
        <v>1.1478102727034605E-3</v>
      </c>
      <c r="AJ108" s="126">
        <v>9.6548223696638969E-4</v>
      </c>
      <c r="AK108" s="126">
        <v>1.9175438915582249E-3</v>
      </c>
      <c r="AL108" s="126">
        <v>1.5060255678414961E-3</v>
      </c>
      <c r="AM108" s="126">
        <v>1.0710367413173654E-3</v>
      </c>
      <c r="AN108" s="126">
        <v>1.6804617246653031E-3</v>
      </c>
      <c r="AO108" s="126">
        <v>2.1759017871323384E-2</v>
      </c>
      <c r="AP108" s="126">
        <v>1.7282329432638625E-2</v>
      </c>
      <c r="AQ108" s="126">
        <v>1.2373830456986199E-2</v>
      </c>
      <c r="AR108" s="126">
        <v>1.1464202966653949E-3</v>
      </c>
      <c r="AS108" s="126">
        <v>9.4222439746301809E-4</v>
      </c>
    </row>
    <row r="109" spans="1:45" ht="14.5">
      <c r="A109" s="113" t="s">
        <v>122</v>
      </c>
      <c r="B109" s="114" t="s">
        <v>123</v>
      </c>
      <c r="AH109" s="126">
        <v>0.29958819734316722</v>
      </c>
      <c r="AI109" s="126">
        <v>0.22772059125071548</v>
      </c>
      <c r="AJ109" s="126">
        <v>0.22883475129283029</v>
      </c>
      <c r="AK109" s="126">
        <v>0.35185267843523671</v>
      </c>
      <c r="AL109" s="126">
        <v>0.29533472921204673</v>
      </c>
      <c r="AM109" s="126">
        <v>0.27432440534114733</v>
      </c>
      <c r="AN109" s="126">
        <v>0.24880512131463645</v>
      </c>
      <c r="AO109" s="126">
        <v>0.26074866732077423</v>
      </c>
      <c r="AP109" s="126">
        <v>0.25459257192894552</v>
      </c>
      <c r="AQ109" s="126">
        <v>0.25394326992505989</v>
      </c>
      <c r="AR109" s="126">
        <v>0.24174570649612137</v>
      </c>
      <c r="AS109" s="126">
        <v>0.24333466449664484</v>
      </c>
    </row>
    <row r="110" spans="1:45">
      <c r="A110" s="113" t="s">
        <v>124</v>
      </c>
      <c r="B110" s="113" t="s">
        <v>100</v>
      </c>
      <c r="AH110" s="126">
        <v>-0.10797671247663906</v>
      </c>
      <c r="AI110" s="126">
        <v>-3.2066877958193851E-2</v>
      </c>
      <c r="AJ110" s="126">
        <v>-3.0420944388572128E-2</v>
      </c>
      <c r="AK110" s="126">
        <v>-0.16182943469901528</v>
      </c>
      <c r="AL110" s="126">
        <v>-0.11955104139988525</v>
      </c>
      <c r="AM110" s="126">
        <v>-0.10811117985723813</v>
      </c>
      <c r="AN110" s="126">
        <v>-8.3344978076517584E-2</v>
      </c>
      <c r="AO110" s="126">
        <v>-8.4482142664593501E-2</v>
      </c>
      <c r="AP110" s="126">
        <v>-7.0754572247162029E-2</v>
      </c>
      <c r="AQ110" s="126">
        <v>-6.6075913574943954E-2</v>
      </c>
      <c r="AR110" s="126">
        <v>-5.1889440336449273E-2</v>
      </c>
      <c r="AS110" s="126">
        <v>-5.0788531255510416E-2</v>
      </c>
    </row>
    <row r="111" spans="1:45">
      <c r="A111" s="113"/>
      <c r="B111" s="113"/>
    </row>
  </sheetData>
  <pageMargins left="0.2" right="0.2" top="0.25" bottom="0.25" header="0.3" footer="0.3"/>
  <pageSetup scale="49" orientation="landscape" r:id="rId1"/>
  <ignoredErrors>
    <ignoredError sqref="AM76" formula="1"/>
  </ignoredErrors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D3143F-1CB5-4284-805F-149289AA16B5}">
  <dimension ref="A1:I12"/>
  <sheetViews>
    <sheetView workbookViewId="0">
      <selection activeCell="D10" sqref="D10:G12"/>
    </sheetView>
  </sheetViews>
  <sheetFormatPr defaultRowHeight="14.25"/>
  <cols>
    <col min="1" max="1" width="56.625" customWidth="1"/>
    <col min="2" max="2" width="11.08203125" customWidth="1"/>
    <col min="9" max="9" width="10.5390625" customWidth="1"/>
  </cols>
  <sheetData>
    <row r="1" spans="1:9" ht="14.5">
      <c r="A1" s="8" t="s">
        <v>137</v>
      </c>
      <c r="B1" s="89">
        <v>2024</v>
      </c>
      <c r="C1" s="89">
        <v>2025</v>
      </c>
      <c r="D1" s="89">
        <v>2026</v>
      </c>
      <c r="E1" s="89">
        <v>2027</v>
      </c>
      <c r="F1" s="89">
        <v>2028</v>
      </c>
      <c r="G1" s="89">
        <v>2029</v>
      </c>
      <c r="H1" s="89">
        <v>2030</v>
      </c>
      <c r="I1" s="129" t="s">
        <v>131</v>
      </c>
    </row>
    <row r="2" spans="1:9" ht="16.5">
      <c r="A2" s="90" t="s">
        <v>67</v>
      </c>
      <c r="B2" s="131">
        <f>B3+B4</f>
        <v>0</v>
      </c>
      <c r="C2" s="131">
        <f>C3+C4</f>
        <v>0</v>
      </c>
      <c r="D2" s="131">
        <f t="shared" ref="D2:G2" si="0">D3+D4</f>
        <v>721.33994120659054</v>
      </c>
      <c r="E2" s="131">
        <f t="shared" si="0"/>
        <v>732.21927019834698</v>
      </c>
      <c r="F2" s="131">
        <f t="shared" si="0"/>
        <v>187.93653864476565</v>
      </c>
      <c r="G2" s="131">
        <f t="shared" si="0"/>
        <v>4.2285111869296426</v>
      </c>
      <c r="I2" s="130">
        <f>SUM(C2:G2)</f>
        <v>1645.7242612366329</v>
      </c>
    </row>
    <row r="3" spans="1:9">
      <c r="A3" s="91" t="s">
        <v>68</v>
      </c>
      <c r="B3" s="132"/>
      <c r="C3" s="131"/>
      <c r="D3" s="131">
        <v>385.4857976103541</v>
      </c>
      <c r="E3" s="131">
        <v>439.33156211900854</v>
      </c>
      <c r="F3" s="131">
        <v>112.76192318685943</v>
      </c>
      <c r="G3" s="131">
        <v>2.5371067121577857</v>
      </c>
      <c r="I3" s="98">
        <f>SUM(C3:H3)</f>
        <v>940.11638962837981</v>
      </c>
    </row>
    <row r="4" spans="1:9">
      <c r="A4" s="91" t="s">
        <v>69</v>
      </c>
      <c r="B4" s="132"/>
      <c r="C4" s="133"/>
      <c r="D4" s="133">
        <v>335.85414359623644</v>
      </c>
      <c r="E4" s="133">
        <v>292.88770807933849</v>
      </c>
      <c r="F4" s="133">
        <v>75.174615457906214</v>
      </c>
      <c r="G4" s="133">
        <v>1.6914044747718571</v>
      </c>
      <c r="I4" s="98">
        <f>SUM(C4:H4)</f>
        <v>705.60787160825294</v>
      </c>
    </row>
    <row r="5" spans="1:9">
      <c r="A5" s="1"/>
    </row>
    <row r="6" spans="1:9">
      <c r="A6" s="92" t="s">
        <v>70</v>
      </c>
      <c r="B6" s="93">
        <v>1322.7254919166669</v>
      </c>
      <c r="C6" s="93">
        <v>1428.4782755016431</v>
      </c>
      <c r="D6" s="93">
        <v>1494.526875</v>
      </c>
      <c r="E6" s="93">
        <v>1573.0806656250002</v>
      </c>
      <c r="F6" s="93">
        <v>1659.6001022343751</v>
      </c>
      <c r="G6" s="93">
        <v>1746.6180637992188</v>
      </c>
      <c r="H6" s="93">
        <v>1833.9489669891798</v>
      </c>
    </row>
    <row r="7" spans="1:9">
      <c r="A7" t="s">
        <v>133</v>
      </c>
      <c r="C7" s="94">
        <f>C6/B6-1</f>
        <v>7.9950665675715848E-2</v>
      </c>
      <c r="D7" s="94">
        <f t="shared" ref="D7:H7" si="1">D6/C6-1</f>
        <v>4.623703463404949E-2</v>
      </c>
      <c r="E7" s="94">
        <f t="shared" si="1"/>
        <v>5.2560975609756255E-2</v>
      </c>
      <c r="F7" s="94">
        <f t="shared" si="1"/>
        <v>5.4999999999999938E-2</v>
      </c>
      <c r="G7" s="94">
        <f t="shared" si="1"/>
        <v>5.2433090024330831E-2</v>
      </c>
      <c r="H7" s="94">
        <f t="shared" si="1"/>
        <v>5.0000000000000044E-2</v>
      </c>
    </row>
    <row r="8" spans="1:9">
      <c r="A8" t="s">
        <v>71</v>
      </c>
      <c r="B8" s="93"/>
      <c r="C8" s="93">
        <f>+(C6+B6)/2</f>
        <v>1375.6018837091551</v>
      </c>
      <c r="D8" s="93">
        <f t="shared" ref="D8:H8" si="2">+(D6+C6)/2</f>
        <v>1461.5025752508216</v>
      </c>
      <c r="E8" s="93">
        <f t="shared" si="2"/>
        <v>1533.8037703125001</v>
      </c>
      <c r="F8" s="93">
        <f t="shared" si="2"/>
        <v>1616.3403839296875</v>
      </c>
      <c r="G8" s="93">
        <f t="shared" si="2"/>
        <v>1703.1090830167968</v>
      </c>
      <c r="H8" s="93">
        <f t="shared" si="2"/>
        <v>1790.2835153941992</v>
      </c>
    </row>
    <row r="9" spans="1:9">
      <c r="C9" s="94"/>
      <c r="I9" s="129" t="s">
        <v>132</v>
      </c>
    </row>
    <row r="10" spans="1:9" ht="16.5">
      <c r="C10" s="95">
        <f>+C2*C8/1000</f>
        <v>0</v>
      </c>
      <c r="D10" s="95">
        <f t="shared" ref="D10:H10" si="3">+D2*D8/1000</f>
        <v>1054.2401817047084</v>
      </c>
      <c r="E10" s="95">
        <f t="shared" si="3"/>
        <v>1123.0806773256918</v>
      </c>
      <c r="F10" s="95">
        <f t="shared" si="3"/>
        <v>303.76941702749707</v>
      </c>
      <c r="G10" s="95">
        <f t="shared" si="3"/>
        <v>7.2016158100980112</v>
      </c>
      <c r="H10" s="95">
        <f t="shared" si="3"/>
        <v>0</v>
      </c>
      <c r="I10" s="130">
        <f>SUM(C10:G10)</f>
        <v>2488.2918918679952</v>
      </c>
    </row>
    <row r="11" spans="1:9">
      <c r="A11" s="96" t="s">
        <v>72</v>
      </c>
      <c r="C11" s="97">
        <f>+C3*C$8/1000</f>
        <v>0</v>
      </c>
      <c r="D11" s="97">
        <f t="shared" ref="D11:H11" si="4">+D3*D$8/1000</f>
        <v>563.38848593014961</v>
      </c>
      <c r="E11" s="97">
        <f t="shared" si="4"/>
        <v>673.84840639541562</v>
      </c>
      <c r="F11" s="97">
        <f t="shared" si="4"/>
        <v>182.26165021649828</v>
      </c>
      <c r="G11" s="97">
        <f t="shared" si="4"/>
        <v>4.3209694860588073</v>
      </c>
      <c r="H11" s="97">
        <f t="shared" si="4"/>
        <v>0</v>
      </c>
      <c r="I11" s="98">
        <f>SUM(C11:H11)</f>
        <v>1423.8195120281225</v>
      </c>
    </row>
    <row r="12" spans="1:9">
      <c r="A12" s="96" t="s">
        <v>73</v>
      </c>
      <c r="C12" s="97">
        <f t="shared" ref="C12:H12" si="5">+C4*C$8/1000</f>
        <v>0</v>
      </c>
      <c r="D12" s="97">
        <f t="shared" si="5"/>
        <v>490.85169577455878</v>
      </c>
      <c r="E12" s="97">
        <f t="shared" si="5"/>
        <v>449.23227093027623</v>
      </c>
      <c r="F12" s="97">
        <f t="shared" si="5"/>
        <v>121.50776681099876</v>
      </c>
      <c r="G12" s="97">
        <f t="shared" si="5"/>
        <v>2.8806463240392044</v>
      </c>
      <c r="H12" s="97">
        <f t="shared" si="5"/>
        <v>0</v>
      </c>
      <c r="I12" s="98">
        <f>SUM(C12:H12)</f>
        <v>1064.4723798398729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497A9A-3D50-4CDD-B86F-A8A57ACBA897}">
  <sheetPr>
    <pageSetUpPr fitToPage="1"/>
  </sheetPr>
  <dimension ref="A2:AJ111"/>
  <sheetViews>
    <sheetView tabSelected="1" zoomScale="90" zoomScaleNormal="90" workbookViewId="0">
      <pane xSplit="6315" ySplit="2325" topLeftCell="A47" activePane="bottomRight"/>
      <selection activeCell="B2" sqref="B2"/>
      <selection pane="topRight" activeCell="C1" sqref="B1:C1048576"/>
      <selection pane="bottomLeft" activeCell="A103" sqref="A103:XFD103"/>
      <selection pane="bottomRight" activeCell="C80" sqref="C80"/>
    </sheetView>
  </sheetViews>
  <sheetFormatPr defaultRowHeight="14.25"/>
  <cols>
    <col min="1" max="1" width="11.625" customWidth="1"/>
    <col min="2" max="2" width="43.25" customWidth="1"/>
    <col min="3" max="5" width="10.625" customWidth="1"/>
    <col min="6" max="6" width="9.5390625" customWidth="1"/>
    <col min="7" max="7" width="10.625" customWidth="1"/>
    <col min="8" max="8" width="9.9140625" customWidth="1"/>
    <col min="9" max="11" width="8.625" style="2" customWidth="1"/>
    <col min="12" max="29" width="9.625" style="2" customWidth="1"/>
    <col min="30" max="30" width="9.1640625" bestFit="1" customWidth="1"/>
  </cols>
  <sheetData>
    <row r="2" spans="2:31">
      <c r="B2" t="s">
        <v>0</v>
      </c>
    </row>
    <row r="5" spans="2:31" s="7" customFormat="1" ht="11.5">
      <c r="B5" s="3" t="s">
        <v>1</v>
      </c>
      <c r="C5" s="6" t="s">
        <v>10</v>
      </c>
      <c r="D5" s="6" t="s">
        <v>10</v>
      </c>
      <c r="E5" s="6" t="s">
        <v>10</v>
      </c>
      <c r="F5" s="6" t="s">
        <v>11</v>
      </c>
      <c r="G5" s="6" t="s">
        <v>11</v>
      </c>
      <c r="H5" s="6" t="s">
        <v>11</v>
      </c>
      <c r="I5" s="6" t="s">
        <v>12</v>
      </c>
      <c r="J5" s="6" t="s">
        <v>12</v>
      </c>
      <c r="K5" s="6" t="s">
        <v>12</v>
      </c>
      <c r="L5" s="6" t="s">
        <v>13</v>
      </c>
      <c r="M5" s="6" t="s">
        <v>13</v>
      </c>
      <c r="N5" s="6" t="s">
        <v>13</v>
      </c>
      <c r="O5" s="6" t="s">
        <v>14</v>
      </c>
      <c r="P5" s="6" t="s">
        <v>14</v>
      </c>
      <c r="Q5" s="6" t="s">
        <v>14</v>
      </c>
      <c r="R5" s="6" t="s">
        <v>15</v>
      </c>
      <c r="S5" s="6" t="s">
        <v>15</v>
      </c>
      <c r="T5" s="6" t="s">
        <v>15</v>
      </c>
      <c r="U5" s="6" t="s">
        <v>16</v>
      </c>
      <c r="V5" s="6" t="s">
        <v>16</v>
      </c>
      <c r="W5" s="6" t="s">
        <v>16</v>
      </c>
      <c r="X5" s="6" t="s">
        <v>17</v>
      </c>
      <c r="Y5" s="6" t="s">
        <v>17</v>
      </c>
      <c r="Z5" s="6" t="s">
        <v>17</v>
      </c>
      <c r="AA5" s="6" t="s">
        <v>18</v>
      </c>
      <c r="AB5" s="6" t="s">
        <v>18</v>
      </c>
      <c r="AC5" s="6" t="s">
        <v>18</v>
      </c>
    </row>
    <row r="6" spans="2:31" ht="15.5">
      <c r="B6" s="8" t="s">
        <v>108</v>
      </c>
      <c r="C6" s="10" t="s">
        <v>19</v>
      </c>
      <c r="D6" s="10" t="s">
        <v>20</v>
      </c>
      <c r="E6" s="10" t="s">
        <v>21</v>
      </c>
      <c r="F6" s="10" t="s">
        <v>19</v>
      </c>
      <c r="G6" s="10" t="s">
        <v>20</v>
      </c>
      <c r="H6" s="10" t="s">
        <v>21</v>
      </c>
      <c r="I6" s="11" t="s">
        <v>19</v>
      </c>
      <c r="J6" s="11" t="s">
        <v>20</v>
      </c>
      <c r="K6" s="11" t="s">
        <v>21</v>
      </c>
      <c r="L6" s="11" t="s">
        <v>19</v>
      </c>
      <c r="M6" s="11" t="s">
        <v>20</v>
      </c>
      <c r="N6" s="11" t="s">
        <v>21</v>
      </c>
      <c r="O6" s="11" t="s">
        <v>19</v>
      </c>
      <c r="P6" s="11" t="s">
        <v>20</v>
      </c>
      <c r="Q6" s="11" t="s">
        <v>21</v>
      </c>
      <c r="R6" s="11" t="s">
        <v>19</v>
      </c>
      <c r="S6" s="11" t="s">
        <v>20</v>
      </c>
      <c r="T6" s="11" t="s">
        <v>21</v>
      </c>
      <c r="U6" s="11" t="s">
        <v>19</v>
      </c>
      <c r="V6" s="11" t="s">
        <v>20</v>
      </c>
      <c r="W6" s="11" t="s">
        <v>21</v>
      </c>
      <c r="X6" s="11" t="s">
        <v>19</v>
      </c>
      <c r="Y6" s="11" t="s">
        <v>20</v>
      </c>
      <c r="Z6" s="11" t="s">
        <v>21</v>
      </c>
      <c r="AA6" s="11" t="s">
        <v>19</v>
      </c>
      <c r="AB6" s="11" t="s">
        <v>20</v>
      </c>
      <c r="AC6" s="11" t="s">
        <v>21</v>
      </c>
      <c r="AE6" s="11"/>
    </row>
    <row r="7" spans="2:31" ht="15.75">
      <c r="B7" s="12" t="s">
        <v>31</v>
      </c>
      <c r="C7" s="14">
        <v>1051.1631436074811</v>
      </c>
      <c r="D7" s="14">
        <v>1226.8355023023412</v>
      </c>
      <c r="E7" s="14">
        <v>2277.9986459098222</v>
      </c>
      <c r="F7" s="14">
        <v>1257.2104364144536</v>
      </c>
      <c r="G7" s="14">
        <v>1431.0495012969325</v>
      </c>
      <c r="H7" s="14">
        <v>2688.2599377113861</v>
      </c>
      <c r="I7" s="15">
        <v>1469.1922849323196</v>
      </c>
      <c r="J7" s="15">
        <v>1584.144667207092</v>
      </c>
      <c r="K7" s="15">
        <v>3053.3369521394116</v>
      </c>
      <c r="L7" s="16">
        <v>1783.2662538365616</v>
      </c>
      <c r="M7" s="16">
        <v>1776.112347501851</v>
      </c>
      <c r="N7" s="16">
        <v>3559.3786013384124</v>
      </c>
      <c r="O7" s="16">
        <v>2074.183696875331</v>
      </c>
      <c r="P7" s="16">
        <v>2267.7232922205203</v>
      </c>
      <c r="Q7" s="16">
        <v>4341.9069890958508</v>
      </c>
      <c r="R7" s="16">
        <v>2505.4577025662438</v>
      </c>
      <c r="S7" s="16">
        <v>2653.9293418755196</v>
      </c>
      <c r="T7" s="16">
        <v>5159.3870444417635</v>
      </c>
      <c r="U7" s="16">
        <v>2886.3884475338155</v>
      </c>
      <c r="V7" s="16">
        <v>3065.8606876926551</v>
      </c>
      <c r="W7" s="16">
        <v>5952.2491352264706</v>
      </c>
      <c r="X7" s="16">
        <v>3285.743065474308</v>
      </c>
      <c r="Y7" s="16">
        <v>3489.54905430803</v>
      </c>
      <c r="Z7" s="16">
        <v>6775.292119782338</v>
      </c>
      <c r="AA7" s="16">
        <v>3730.1403277270542</v>
      </c>
      <c r="AB7" s="16">
        <v>3960.8633028526779</v>
      </c>
      <c r="AC7" s="16">
        <v>7691.0036305797321</v>
      </c>
    </row>
    <row r="8" spans="2:31" ht="15.75">
      <c r="B8" s="12" t="s">
        <v>32</v>
      </c>
      <c r="C8" s="14">
        <v>1576.9416250105817</v>
      </c>
      <c r="D8" s="14">
        <v>1824.9629640029807</v>
      </c>
      <c r="E8" s="14">
        <v>3401.9045890135621</v>
      </c>
      <c r="F8" s="14">
        <v>1706.2754706069873</v>
      </c>
      <c r="G8" s="14">
        <v>2020.3625759367721</v>
      </c>
      <c r="H8" s="14">
        <v>3726.6380465437596</v>
      </c>
      <c r="I8" s="15">
        <v>1829.0395976632849</v>
      </c>
      <c r="J8" s="15">
        <v>2324.8211175256038</v>
      </c>
      <c r="K8" s="15">
        <v>4153.8607151888882</v>
      </c>
      <c r="L8" s="16">
        <v>2224.8359366580507</v>
      </c>
      <c r="M8" s="16">
        <v>2089.1201441111698</v>
      </c>
      <c r="N8" s="16">
        <v>4313.9560807692205</v>
      </c>
      <c r="O8" s="16">
        <v>2394.8809016309069</v>
      </c>
      <c r="P8" s="16">
        <v>2430.669611028794</v>
      </c>
      <c r="Q8" s="16">
        <v>4825.5505126597009</v>
      </c>
      <c r="R8" s="16">
        <v>2779.6625280542721</v>
      </c>
      <c r="S8" s="16">
        <v>2649.2808258529108</v>
      </c>
      <c r="T8" s="16">
        <v>5428.9433539071833</v>
      </c>
      <c r="U8" s="16">
        <v>3231.5116319404151</v>
      </c>
      <c r="V8" s="16">
        <v>3068.6580314695098</v>
      </c>
      <c r="W8" s="16">
        <v>6300.1696634099244</v>
      </c>
      <c r="X8" s="16">
        <v>3900.2864837845846</v>
      </c>
      <c r="Y8" s="16">
        <v>3345.2882220039583</v>
      </c>
      <c r="Z8" s="16">
        <v>7245.5747057885428</v>
      </c>
      <c r="AA8" s="16">
        <v>4198.6574576460389</v>
      </c>
      <c r="AB8" s="16">
        <v>4073.8362086587158</v>
      </c>
      <c r="AC8" s="16">
        <v>8272.4936663047538</v>
      </c>
    </row>
    <row r="9" spans="2:31" ht="15.75">
      <c r="B9" s="12" t="s">
        <v>33</v>
      </c>
      <c r="C9" s="14">
        <v>373.56828368750172</v>
      </c>
      <c r="D9" s="14">
        <v>442.53703638055373</v>
      </c>
      <c r="E9" s="14">
        <v>816.10532006805545</v>
      </c>
      <c r="F9" s="14">
        <v>409.28810172088833</v>
      </c>
      <c r="G9" s="14">
        <v>380.62786557518308</v>
      </c>
      <c r="H9" s="14">
        <v>789.91596729607136</v>
      </c>
      <c r="I9" s="15">
        <v>403.56360173067225</v>
      </c>
      <c r="J9" s="15">
        <v>481.91500919731516</v>
      </c>
      <c r="K9" s="15">
        <v>885.47861092798746</v>
      </c>
      <c r="L9" s="16">
        <v>529.45275288775167</v>
      </c>
      <c r="M9" s="16">
        <v>508.8869360634871</v>
      </c>
      <c r="N9" s="16">
        <v>1038.3396889512389</v>
      </c>
      <c r="O9" s="16">
        <v>649.50207907076594</v>
      </c>
      <c r="P9" s="16">
        <v>991.0078370317899</v>
      </c>
      <c r="Q9" s="16">
        <v>1637.9104207755558</v>
      </c>
      <c r="R9" s="16">
        <v>847.68237820735339</v>
      </c>
      <c r="S9" s="16">
        <v>841.77589163829134</v>
      </c>
      <c r="T9" s="16">
        <v>1689.4582698456447</v>
      </c>
      <c r="U9" s="16">
        <v>898.33406379821645</v>
      </c>
      <c r="V9" s="16">
        <v>735.60157711500483</v>
      </c>
      <c r="W9" s="16">
        <v>1633.9356409132213</v>
      </c>
      <c r="X9" s="16">
        <v>633.46511352679795</v>
      </c>
      <c r="Y9" s="16">
        <v>638.09062085996959</v>
      </c>
      <c r="Z9" s="16">
        <v>1271.5557343867677</v>
      </c>
      <c r="AA9" s="16">
        <v>685.75820901271993</v>
      </c>
      <c r="AB9" s="16">
        <v>646.40801672904183</v>
      </c>
      <c r="AC9" s="16">
        <v>1332.1662257417618</v>
      </c>
    </row>
    <row r="10" spans="2:31" ht="15.75">
      <c r="B10" s="12" t="s">
        <v>60</v>
      </c>
      <c r="C10" s="14">
        <v>40.503386386999999</v>
      </c>
      <c r="D10" s="14">
        <v>116.42714858000001</v>
      </c>
      <c r="E10" s="14">
        <v>156.930534967</v>
      </c>
      <c r="F10" s="14">
        <v>99.679782105969991</v>
      </c>
      <c r="G10" s="14">
        <v>41.755384522</v>
      </c>
      <c r="H10" s="14">
        <v>141.43516662796998</v>
      </c>
      <c r="I10" s="15">
        <v>56.959134437000003</v>
      </c>
      <c r="J10" s="15">
        <v>54.446709881999993</v>
      </c>
      <c r="K10" s="15">
        <v>111.405844319</v>
      </c>
      <c r="L10" s="16">
        <v>111.316300256657</v>
      </c>
      <c r="M10" s="16">
        <v>52.640374271249001</v>
      </c>
      <c r="N10" s="16">
        <v>163.95667452790599</v>
      </c>
      <c r="O10" s="16">
        <v>180.566687993491</v>
      </c>
      <c r="P10" s="16">
        <v>414.67834787567</v>
      </c>
      <c r="Q10" s="16">
        <v>592.64554054216092</v>
      </c>
      <c r="R10" s="16">
        <v>236.27005599256555</v>
      </c>
      <c r="S10" s="16">
        <v>270.45253445560297</v>
      </c>
      <c r="T10" s="16">
        <v>506.72259044816849</v>
      </c>
      <c r="U10" s="16">
        <v>257.30127345793409</v>
      </c>
      <c r="V10" s="16">
        <v>152.72424258432258</v>
      </c>
      <c r="W10" s="16">
        <v>410.02551604225664</v>
      </c>
      <c r="X10" s="16">
        <v>34.379824197211107</v>
      </c>
      <c r="Y10" s="16">
        <v>35.629279176771213</v>
      </c>
      <c r="Z10" s="16">
        <v>70.009103373982327</v>
      </c>
      <c r="AA10" s="16">
        <v>31.858839296599999</v>
      </c>
      <c r="AB10" s="16">
        <v>33.921106653345916</v>
      </c>
      <c r="AC10" s="16">
        <v>65.779945949945912</v>
      </c>
    </row>
    <row r="11" spans="2:31" ht="15.75">
      <c r="B11" s="12" t="s">
        <v>62</v>
      </c>
      <c r="C11" s="14">
        <v>11.825852672</v>
      </c>
      <c r="D11" s="14">
        <v>11.1616635</v>
      </c>
      <c r="E11" s="14">
        <v>22.987516171999999</v>
      </c>
      <c r="F11" s="14">
        <v>11.605145685</v>
      </c>
      <c r="G11" s="14">
        <v>11.426503324</v>
      </c>
      <c r="H11" s="14">
        <v>23.031649008999999</v>
      </c>
      <c r="I11" s="15">
        <v>11.573270916</v>
      </c>
      <c r="J11" s="15">
        <v>8.101674022000001</v>
      </c>
      <c r="K11" s="15">
        <v>19.674944938000003</v>
      </c>
      <c r="L11" s="16">
        <v>8.9500926209999996</v>
      </c>
      <c r="M11" s="16">
        <v>27.199999999999996</v>
      </c>
      <c r="N11" s="16">
        <v>36.150092620999999</v>
      </c>
      <c r="O11" s="16">
        <v>151.71123010600002</v>
      </c>
      <c r="P11" s="16">
        <v>379.81921542791872</v>
      </c>
      <c r="Q11" s="16">
        <v>531.53044553391874</v>
      </c>
      <c r="R11" s="16">
        <v>220.01813446993873</v>
      </c>
      <c r="S11" s="16">
        <v>254.20061293297613</v>
      </c>
      <c r="T11" s="16">
        <v>474.21874740291486</v>
      </c>
      <c r="U11" s="16">
        <v>242.28113296793407</v>
      </c>
      <c r="V11" s="16">
        <v>137.70410209432259</v>
      </c>
      <c r="W11" s="16">
        <v>379.98523506225666</v>
      </c>
      <c r="X11" s="16">
        <v>19.960489326811107</v>
      </c>
      <c r="Y11" s="16">
        <v>20.008333067171215</v>
      </c>
      <c r="Z11" s="16">
        <v>39.968822393982322</v>
      </c>
      <c r="AA11" s="16">
        <v>17.990922015319999</v>
      </c>
      <c r="AB11" s="16">
        <v>18.897529598625912</v>
      </c>
      <c r="AC11" s="16">
        <v>36.888451613945911</v>
      </c>
    </row>
    <row r="12" spans="2:31" ht="15.75">
      <c r="B12" s="12" t="s">
        <v>34</v>
      </c>
      <c r="C12" s="14">
        <v>1950.5099086980831</v>
      </c>
      <c r="D12" s="14">
        <v>2267.5000003835344</v>
      </c>
      <c r="E12" s="14">
        <v>4218.0099090816175</v>
      </c>
      <c r="F12" s="14">
        <v>2115.5635723278756</v>
      </c>
      <c r="G12" s="14">
        <v>2400.9904415119554</v>
      </c>
      <c r="H12" s="14">
        <v>4516.554013839831</v>
      </c>
      <c r="I12" s="15">
        <v>2232.6031993939569</v>
      </c>
      <c r="J12" s="15">
        <v>2806.7361267229194</v>
      </c>
      <c r="K12" s="15">
        <v>5039.3393261168767</v>
      </c>
      <c r="L12" s="16">
        <v>2754.2886895458023</v>
      </c>
      <c r="M12" s="16">
        <v>2598.0070801746569</v>
      </c>
      <c r="N12" s="16">
        <v>5352.2957697204592</v>
      </c>
      <c r="O12" s="16">
        <v>3044.3829807016728</v>
      </c>
      <c r="P12" s="16">
        <v>3421.6774480605836</v>
      </c>
      <c r="Q12" s="16">
        <v>6466.0604287622564</v>
      </c>
      <c r="R12" s="16">
        <v>3627.3449062616251</v>
      </c>
      <c r="S12" s="16">
        <v>3491.0567174912017</v>
      </c>
      <c r="T12" s="16">
        <v>7118.4016237528267</v>
      </c>
      <c r="U12" s="16">
        <v>4129.8456957386315</v>
      </c>
      <c r="V12" s="16">
        <v>3804.2596085845144</v>
      </c>
      <c r="W12" s="16">
        <v>7934.1053043231459</v>
      </c>
      <c r="X12" s="16">
        <v>4533.7515973113832</v>
      </c>
      <c r="Y12" s="16">
        <v>3983.3788428639286</v>
      </c>
      <c r="Z12" s="16">
        <v>8517.1304401753114</v>
      </c>
      <c r="AA12" s="16">
        <v>4884.4156666587596</v>
      </c>
      <c r="AB12" s="16">
        <v>4720.2442253877571</v>
      </c>
      <c r="AC12" s="16">
        <v>9604.6598920465167</v>
      </c>
    </row>
    <row r="13" spans="2:31" ht="15.75">
      <c r="B13" s="12" t="s">
        <v>35</v>
      </c>
      <c r="C13" s="14">
        <v>-899.34676509060193</v>
      </c>
      <c r="D13" s="14">
        <v>-1040.6644980811932</v>
      </c>
      <c r="E13" s="14">
        <v>-1940.0112631717952</v>
      </c>
      <c r="F13" s="14">
        <v>-858.35313591342208</v>
      </c>
      <c r="G13" s="14">
        <v>-969.94094021502303</v>
      </c>
      <c r="H13" s="14">
        <v>-1828.2940761284451</v>
      </c>
      <c r="I13" s="15">
        <v>-763.41091446163728</v>
      </c>
      <c r="J13" s="15">
        <v>-1222.5914595158272</v>
      </c>
      <c r="K13" s="15">
        <v>-1986.0023739774645</v>
      </c>
      <c r="L13" s="16">
        <v>-971.02243570924077</v>
      </c>
      <c r="M13" s="16">
        <v>-821.89473267280573</v>
      </c>
      <c r="N13" s="16">
        <v>-1792.9171683820462</v>
      </c>
      <c r="O13" s="16">
        <v>-970.19928382634168</v>
      </c>
      <c r="P13" s="16">
        <v>-1153.9541558400633</v>
      </c>
      <c r="Q13" s="16">
        <v>-2121.553944339405</v>
      </c>
      <c r="R13" s="16">
        <v>-1121.8872036953817</v>
      </c>
      <c r="S13" s="16">
        <v>-837.12737561568224</v>
      </c>
      <c r="T13" s="16">
        <v>-1959.0145793110639</v>
      </c>
      <c r="U13" s="16">
        <v>-1243.4572482048156</v>
      </c>
      <c r="V13" s="16">
        <v>-738.39892089185969</v>
      </c>
      <c r="W13" s="16">
        <v>-1981.8561690966753</v>
      </c>
      <c r="X13" s="16">
        <v>-1248.0085318370743</v>
      </c>
      <c r="Y13" s="16">
        <v>-493.82978855589869</v>
      </c>
      <c r="Z13" s="16">
        <v>-1741.8383203929729</v>
      </c>
      <c r="AA13" s="16">
        <v>-1154.2753389317049</v>
      </c>
      <c r="AB13" s="16">
        <v>-759.38092253507943</v>
      </c>
      <c r="AC13" s="16">
        <v>-1913.6562614667851</v>
      </c>
    </row>
    <row r="14" spans="2:31" ht="15.75">
      <c r="B14" s="17" t="s">
        <v>36</v>
      </c>
      <c r="C14" s="18" t="s">
        <v>37</v>
      </c>
      <c r="D14" s="18" t="s">
        <v>37</v>
      </c>
      <c r="E14" s="18" t="s">
        <v>37</v>
      </c>
      <c r="F14" s="18" t="s">
        <v>37</v>
      </c>
      <c r="G14" s="18" t="s">
        <v>37</v>
      </c>
      <c r="H14" s="18" t="s">
        <v>37</v>
      </c>
      <c r="I14" s="18" t="s">
        <v>37</v>
      </c>
      <c r="J14" s="18" t="s">
        <v>37</v>
      </c>
      <c r="K14" s="18" t="s">
        <v>37</v>
      </c>
      <c r="L14" s="18" t="s">
        <v>37</v>
      </c>
      <c r="M14" s="18" t="s">
        <v>37</v>
      </c>
      <c r="N14" s="18" t="s">
        <v>37</v>
      </c>
      <c r="O14" s="18" t="str">
        <f t="shared" ref="O14:P14" si="0">IF(ABS(O7-O12-O13)&gt;0.01,O7-O12-O13,"")</f>
        <v/>
      </c>
      <c r="P14" s="18" t="str">
        <f t="shared" si="0"/>
        <v/>
      </c>
      <c r="Q14" s="18">
        <f>IF(ABS(Q7-Q12-Q13)&gt;0.01,Q7-Q12-Q13,"")</f>
        <v>-2.5994953270005681</v>
      </c>
      <c r="R14" s="18" t="str">
        <f t="shared" ref="R14:AC14" si="1">IF(ABS(R7-R12-R13)&gt;0.01,R7-R12-R13,"")</f>
        <v/>
      </c>
      <c r="S14" s="18" t="str">
        <f t="shared" si="1"/>
        <v/>
      </c>
      <c r="T14" s="18" t="str">
        <f t="shared" si="1"/>
        <v/>
      </c>
      <c r="U14" s="18" t="str">
        <f t="shared" si="1"/>
        <v/>
      </c>
      <c r="V14" s="18" t="str">
        <f t="shared" si="1"/>
        <v/>
      </c>
      <c r="W14" s="18" t="str">
        <f t="shared" si="1"/>
        <v/>
      </c>
      <c r="X14" s="18" t="str">
        <f t="shared" si="1"/>
        <v/>
      </c>
      <c r="Y14" s="18" t="str">
        <f t="shared" si="1"/>
        <v/>
      </c>
      <c r="Z14" s="18" t="str">
        <f t="shared" si="1"/>
        <v/>
      </c>
      <c r="AA14" s="18" t="str">
        <f t="shared" si="1"/>
        <v/>
      </c>
      <c r="AB14" s="18" t="str">
        <f t="shared" si="1"/>
        <v/>
      </c>
      <c r="AC14" s="18" t="str">
        <f t="shared" si="1"/>
        <v/>
      </c>
    </row>
    <row r="15" spans="2:31" ht="15.75">
      <c r="B15" s="19"/>
      <c r="C15" s="18"/>
      <c r="D15" s="18"/>
      <c r="E15" s="18"/>
      <c r="F15" s="18"/>
      <c r="G15" s="18"/>
      <c r="H15" s="18"/>
      <c r="I15" s="21"/>
      <c r="J15" s="21"/>
      <c r="K15" s="21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</row>
    <row r="16" spans="2:31" ht="15.75">
      <c r="B16" s="12"/>
      <c r="C16" s="23">
        <v>1346.8885515355817</v>
      </c>
      <c r="D16" s="23">
        <v>1590.2640597839807</v>
      </c>
      <c r="E16" s="23">
        <v>2937.1526113195623</v>
      </c>
      <c r="F16" s="23">
        <v>1456.7093055379871</v>
      </c>
      <c r="G16" s="14"/>
      <c r="H16" s="14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  <c r="AC16" s="16"/>
    </row>
    <row r="17" spans="2:29" ht="15.75">
      <c r="B17" s="12" t="s">
        <v>25</v>
      </c>
      <c r="C17" s="24">
        <v>5682</v>
      </c>
      <c r="D17" s="24">
        <v>6306</v>
      </c>
      <c r="E17" s="24">
        <v>11988</v>
      </c>
      <c r="F17" s="24">
        <v>7414</v>
      </c>
      <c r="G17" s="24">
        <v>7879</v>
      </c>
      <c r="H17" s="24">
        <v>15293</v>
      </c>
      <c r="I17" s="25">
        <v>8890</v>
      </c>
      <c r="J17" s="25">
        <v>9480</v>
      </c>
      <c r="K17" s="25">
        <v>18370</v>
      </c>
      <c r="L17" s="26">
        <v>10438</v>
      </c>
      <c r="M17" s="26">
        <v>11074</v>
      </c>
      <c r="N17" s="27">
        <v>21512</v>
      </c>
      <c r="O17" s="27">
        <v>12719.344769322401</v>
      </c>
      <c r="P17" s="27">
        <v>12719.344769322401</v>
      </c>
      <c r="Q17" s="27">
        <v>25438.689538644801</v>
      </c>
      <c r="R17" s="27">
        <v>14684.878547616787</v>
      </c>
      <c r="S17" s="27">
        <v>14684.878547616787</v>
      </c>
      <c r="T17" s="27">
        <v>29369.757095233574</v>
      </c>
      <c r="U17" s="27">
        <v>16584.620036406115</v>
      </c>
      <c r="V17" s="27">
        <v>16584.620036406115</v>
      </c>
      <c r="W17" s="27">
        <v>33169.24007281223</v>
      </c>
      <c r="X17" s="27">
        <v>18629.018513773546</v>
      </c>
      <c r="Y17" s="27">
        <v>18629.018513773546</v>
      </c>
      <c r="Z17" s="27">
        <v>37258.037027547092</v>
      </c>
      <c r="AA17" s="27">
        <v>20932.087692283047</v>
      </c>
      <c r="AB17" s="27">
        <v>20932.087692283047</v>
      </c>
      <c r="AC17" s="27">
        <v>41864.175384566093</v>
      </c>
    </row>
    <row r="18" spans="2:29" ht="15.75">
      <c r="B18" s="12" t="s">
        <v>26</v>
      </c>
      <c r="C18" s="28">
        <v>0.18499879331353064</v>
      </c>
      <c r="D18" s="28">
        <v>0.19455050781832242</v>
      </c>
      <c r="E18" s="28">
        <v>0.1900232437362214</v>
      </c>
      <c r="F18" s="28">
        <v>0.16957248940038488</v>
      </c>
      <c r="G18" s="28">
        <v>0.18162831594071996</v>
      </c>
      <c r="H18" s="28">
        <v>0.17578368781216153</v>
      </c>
      <c r="I18" s="29">
        <v>0.16526347412062087</v>
      </c>
      <c r="J18" s="29">
        <v>0.16710386784884937</v>
      </c>
      <c r="K18" s="29">
        <v>0.16621322548390918</v>
      </c>
      <c r="L18" s="30">
        <f>L7/L$17</f>
        <v>0.17084367252697466</v>
      </c>
      <c r="M18" s="30">
        <f t="shared" ref="M18:AC24" si="2">M7/M$17</f>
        <v>0.16038579984665441</v>
      </c>
      <c r="N18" s="30">
        <f t="shared" si="2"/>
        <v>0.16546014323811883</v>
      </c>
      <c r="O18" s="30">
        <f t="shared" si="2"/>
        <v>0.16307315624292407</v>
      </c>
      <c r="P18" s="30">
        <f t="shared" si="2"/>
        <v>0.1782893170479983</v>
      </c>
      <c r="Q18" s="30">
        <f t="shared" si="2"/>
        <v>0.17068123664546117</v>
      </c>
      <c r="R18" s="30">
        <f t="shared" si="2"/>
        <v>0.17061480586591948</v>
      </c>
      <c r="S18" s="30">
        <f t="shared" si="2"/>
        <v>0.18072531776616066</v>
      </c>
      <c r="T18" s="30">
        <f t="shared" si="2"/>
        <v>0.17567006181604009</v>
      </c>
      <c r="U18" s="30">
        <f t="shared" si="2"/>
        <v>0.17404007093305077</v>
      </c>
      <c r="V18" s="30">
        <f t="shared" si="2"/>
        <v>0.18486167792584693</v>
      </c>
      <c r="W18" s="30">
        <f t="shared" si="2"/>
        <v>0.17945087442944885</v>
      </c>
      <c r="X18" s="30">
        <f t="shared" si="2"/>
        <v>0.17637767996445769</v>
      </c>
      <c r="Y18" s="30">
        <f t="shared" si="2"/>
        <v>0.18731792293447977</v>
      </c>
      <c r="Z18" s="30">
        <f t="shared" si="2"/>
        <v>0.18184780144946874</v>
      </c>
      <c r="AA18" s="30">
        <f t="shared" si="2"/>
        <v>0.17820202086685463</v>
      </c>
      <c r="AB18" s="30">
        <f t="shared" si="2"/>
        <v>0.18922447493438097</v>
      </c>
      <c r="AC18" s="30">
        <f t="shared" si="2"/>
        <v>0.1837132479006178</v>
      </c>
    </row>
    <row r="19" spans="2:29" ht="15.75">
      <c r="B19" s="12" t="s">
        <v>27</v>
      </c>
      <c r="C19" s="28">
        <v>0.27753284495082398</v>
      </c>
      <c r="D19" s="28">
        <v>0.28940104091388846</v>
      </c>
      <c r="E19" s="28">
        <v>0.28377582490937286</v>
      </c>
      <c r="F19" s="28">
        <v>0.23014236182991465</v>
      </c>
      <c r="G19" s="28">
        <v>0.25642373092229626</v>
      </c>
      <c r="H19" s="28">
        <v>0.24368260292576732</v>
      </c>
      <c r="I19" s="29">
        <v>0.20574123708248424</v>
      </c>
      <c r="J19" s="29">
        <v>0.24523429509763753</v>
      </c>
      <c r="K19" s="29">
        <v>0.22612197687473534</v>
      </c>
      <c r="L19" s="30">
        <f t="shared" ref="L19:AA24" si="3">L8/L$17</f>
        <v>0.21314772338168717</v>
      </c>
      <c r="M19" s="30">
        <f t="shared" si="3"/>
        <v>0.18865090699938322</v>
      </c>
      <c r="N19" s="30">
        <f t="shared" si="3"/>
        <v>0.20053719230054018</v>
      </c>
      <c r="O19" s="30">
        <f t="shared" si="3"/>
        <v>0.18828649942779166</v>
      </c>
      <c r="P19" s="30">
        <f t="shared" si="3"/>
        <v>0.19110022215069522</v>
      </c>
      <c r="Q19" s="30">
        <f t="shared" si="3"/>
        <v>0.18969336078924343</v>
      </c>
      <c r="R19" s="30">
        <f t="shared" si="3"/>
        <v>0.18928740330000102</v>
      </c>
      <c r="S19" s="30">
        <f t="shared" si="3"/>
        <v>0.18040876655958882</v>
      </c>
      <c r="T19" s="30">
        <f t="shared" si="3"/>
        <v>0.18484808492979496</v>
      </c>
      <c r="U19" s="30">
        <f t="shared" si="3"/>
        <v>0.19484990460117188</v>
      </c>
      <c r="V19" s="30">
        <f t="shared" si="3"/>
        <v>0.18503034888548991</v>
      </c>
      <c r="W19" s="30">
        <f t="shared" si="3"/>
        <v>0.18994012674333088</v>
      </c>
      <c r="X19" s="30">
        <f t="shared" si="3"/>
        <v>0.20936618216901065</v>
      </c>
      <c r="Y19" s="30">
        <f t="shared" si="3"/>
        <v>0.17957404570351287</v>
      </c>
      <c r="Z19" s="30">
        <f t="shared" si="3"/>
        <v>0.19447011393626176</v>
      </c>
      <c r="AA19" s="30">
        <f t="shared" si="3"/>
        <v>0.20058474431071402</v>
      </c>
      <c r="AB19" s="30">
        <f t="shared" si="2"/>
        <v>0.19462159095390191</v>
      </c>
      <c r="AC19" s="30">
        <f t="shared" si="2"/>
        <v>0.19760316763230795</v>
      </c>
    </row>
    <row r="20" spans="2:29" ht="15.75">
      <c r="B20" s="12" t="s">
        <v>28</v>
      </c>
      <c r="C20" s="28">
        <v>6.5745914059750388E-2</v>
      </c>
      <c r="D20" s="28">
        <v>7.0177138658508359E-2</v>
      </c>
      <c r="E20" s="28">
        <v>6.8076853525863817E-2</v>
      </c>
      <c r="F20" s="28">
        <v>5.5204761494589742E-2</v>
      </c>
      <c r="G20" s="28">
        <v>4.83091592302555E-2</v>
      </c>
      <c r="H20" s="28">
        <v>5.165212628627943E-2</v>
      </c>
      <c r="I20" s="29">
        <v>4.5395230790851775E-2</v>
      </c>
      <c r="J20" s="29">
        <v>5.0834916581995272E-2</v>
      </c>
      <c r="K20" s="29">
        <v>4.8202428466411949E-2</v>
      </c>
      <c r="L20" s="30">
        <f t="shared" si="3"/>
        <v>5.0723582380508878E-2</v>
      </c>
      <c r="M20" s="30">
        <f t="shared" si="2"/>
        <v>4.595330829542054E-2</v>
      </c>
      <c r="N20" s="30">
        <f t="shared" si="2"/>
        <v>4.8267929014096267E-2</v>
      </c>
      <c r="O20" s="30">
        <f t="shared" si="2"/>
        <v>5.1064114610470376E-2</v>
      </c>
      <c r="P20" s="30">
        <f t="shared" si="2"/>
        <v>7.791343461512161E-2</v>
      </c>
      <c r="Q20" s="30">
        <f t="shared" si="2"/>
        <v>6.4386587928884811E-2</v>
      </c>
      <c r="R20" s="30">
        <f t="shared" si="2"/>
        <v>5.7724847737669852E-2</v>
      </c>
      <c r="S20" s="30">
        <f t="shared" si="2"/>
        <v>5.7322632183083554E-2</v>
      </c>
      <c r="T20" s="30">
        <f t="shared" si="2"/>
        <v>5.7523739960376706E-2</v>
      </c>
      <c r="U20" s="30">
        <f t="shared" si="2"/>
        <v>5.4166695518270393E-2</v>
      </c>
      <c r="V20" s="30">
        <f t="shared" si="2"/>
        <v>4.4354442579946474E-2</v>
      </c>
      <c r="W20" s="30">
        <f t="shared" si="2"/>
        <v>4.926056904910843E-2</v>
      </c>
      <c r="X20" s="30">
        <f t="shared" si="2"/>
        <v>3.400421300018782E-2</v>
      </c>
      <c r="Y20" s="30">
        <f t="shared" si="2"/>
        <v>3.4252508815115039E-2</v>
      </c>
      <c r="Z20" s="30">
        <f t="shared" si="2"/>
        <v>3.412836090765143E-2</v>
      </c>
      <c r="AA20" s="30">
        <f t="shared" si="2"/>
        <v>3.2761099566076049E-2</v>
      </c>
      <c r="AB20" s="30">
        <f t="shared" si="2"/>
        <v>3.0881201446874819E-2</v>
      </c>
      <c r="AC20" s="30">
        <f t="shared" si="2"/>
        <v>3.1821150506475437E-2</v>
      </c>
    </row>
    <row r="21" spans="2:29" ht="15.75">
      <c r="B21" s="12" t="s">
        <v>60</v>
      </c>
      <c r="C21" s="28">
        <v>7.128367896339317E-3</v>
      </c>
      <c r="D21" s="28">
        <v>1.8462916045036474E-2</v>
      </c>
      <c r="E21" s="28">
        <v>1.3090635215799132E-2</v>
      </c>
      <c r="F21" s="28">
        <v>1.3444804708115725E-2</v>
      </c>
      <c r="G21" s="28">
        <v>5.2995792006599821E-3</v>
      </c>
      <c r="H21" s="28">
        <v>9.2483598135074847E-3</v>
      </c>
      <c r="I21" s="29">
        <v>6.4071017364454447E-3</v>
      </c>
      <c r="J21" s="29">
        <v>5.7433238272151894E-3</v>
      </c>
      <c r="K21" s="29">
        <v>6.0645533107784432E-3</v>
      </c>
      <c r="L21" s="30">
        <f t="shared" si="3"/>
        <v>1.0664523879733379E-2</v>
      </c>
      <c r="M21" s="30">
        <f t="shared" si="2"/>
        <v>4.7535104091790681E-3</v>
      </c>
      <c r="N21" s="30">
        <f t="shared" si="2"/>
        <v>7.6216379010740978E-3</v>
      </c>
      <c r="O21" s="30">
        <f t="shared" si="2"/>
        <v>1.4196225612894551E-2</v>
      </c>
      <c r="P21" s="30">
        <f t="shared" si="2"/>
        <v>3.2602178445215714E-2</v>
      </c>
      <c r="Q21" s="30">
        <f t="shared" si="2"/>
        <v>2.3297015345143956E-2</v>
      </c>
      <c r="R21" s="30">
        <f t="shared" si="2"/>
        <v>1.608934355340037E-2</v>
      </c>
      <c r="S21" s="30">
        <f t="shared" si="2"/>
        <v>1.8417076694140912E-2</v>
      </c>
      <c r="T21" s="30">
        <f t="shared" si="2"/>
        <v>1.7253210123770641E-2</v>
      </c>
      <c r="U21" s="30">
        <f t="shared" si="2"/>
        <v>1.551445091253904E-2</v>
      </c>
      <c r="V21" s="30">
        <f t="shared" si="2"/>
        <v>9.2087875543163736E-3</v>
      </c>
      <c r="W21" s="30">
        <f t="shared" si="2"/>
        <v>1.2361619233427705E-2</v>
      </c>
      <c r="X21" s="30">
        <f t="shared" si="2"/>
        <v>1.845498418061695E-3</v>
      </c>
      <c r="Y21" s="30">
        <f t="shared" si="2"/>
        <v>1.9125687781365592E-3</v>
      </c>
      <c r="Z21" s="30">
        <f t="shared" si="2"/>
        <v>1.8790335980991273E-3</v>
      </c>
      <c r="AA21" s="30">
        <f t="shared" si="2"/>
        <v>1.5220096420838747E-3</v>
      </c>
      <c r="AB21" s="30">
        <f t="shared" si="2"/>
        <v>1.6205314611715239E-3</v>
      </c>
      <c r="AC21" s="30">
        <f t="shared" si="2"/>
        <v>1.5712705516276993E-3</v>
      </c>
    </row>
    <row r="22" spans="2:29" ht="15.75">
      <c r="B22" s="12" t="s">
        <v>61</v>
      </c>
      <c r="C22" s="28">
        <v>2.0812834692009855E-3</v>
      </c>
      <c r="D22" s="28">
        <v>1.7700068981921979E-3</v>
      </c>
      <c r="E22" s="28">
        <v>1.9175438915582249E-3</v>
      </c>
      <c r="F22" s="28">
        <v>1.5653015490963043E-3</v>
      </c>
      <c r="G22" s="28">
        <v>1.4502479152176673E-3</v>
      </c>
      <c r="H22" s="28">
        <v>1.5060255678414961E-3</v>
      </c>
      <c r="I22" s="29">
        <v>1.3018302492688414E-3</v>
      </c>
      <c r="J22" s="29">
        <v>8.5460696434599167E-4</v>
      </c>
      <c r="K22" s="29">
        <v>1.0710367413173654E-3</v>
      </c>
      <c r="L22" s="30">
        <f t="shared" si="3"/>
        <v>8.5745282822379757E-4</v>
      </c>
      <c r="M22" s="30">
        <f t="shared" si="2"/>
        <v>2.4562037204262231E-3</v>
      </c>
      <c r="N22" s="30">
        <f t="shared" si="2"/>
        <v>1.6804617246653031E-3</v>
      </c>
      <c r="O22" s="30">
        <f t="shared" si="2"/>
        <v>1.1927597911482837E-2</v>
      </c>
      <c r="P22" s="30">
        <f t="shared" si="2"/>
        <v>2.986153943589917E-2</v>
      </c>
      <c r="Q22" s="30">
        <f t="shared" si="2"/>
        <v>2.0894568673691005E-2</v>
      </c>
      <c r="R22" s="30">
        <f t="shared" si="2"/>
        <v>1.4982632219702323E-2</v>
      </c>
      <c r="S22" s="30">
        <f t="shared" si="2"/>
        <v>1.7310365360442864E-2</v>
      </c>
      <c r="T22" s="30">
        <f t="shared" si="2"/>
        <v>1.6146498790072593E-2</v>
      </c>
      <c r="U22" s="30">
        <f t="shared" si="2"/>
        <v>1.4608784068376906E-2</v>
      </c>
      <c r="V22" s="30">
        <f t="shared" si="2"/>
        <v>8.3031207101542416E-3</v>
      </c>
      <c r="W22" s="30">
        <f t="shared" si="2"/>
        <v>1.1455952389265573E-2</v>
      </c>
      <c r="X22" s="30">
        <f t="shared" si="2"/>
        <v>1.0714729448603598E-3</v>
      </c>
      <c r="Y22" s="30">
        <f t="shared" si="2"/>
        <v>1.0740411821684465E-3</v>
      </c>
      <c r="Z22" s="30">
        <f t="shared" si="2"/>
        <v>1.0727570635144033E-3</v>
      </c>
      <c r="AA22" s="30">
        <f t="shared" si="2"/>
        <v>8.5949009385970817E-4</v>
      </c>
      <c r="AB22" s="30">
        <f t="shared" si="2"/>
        <v>9.0280195059534328E-4</v>
      </c>
      <c r="AC22" s="30">
        <f t="shared" si="2"/>
        <v>8.8114602222752578E-4</v>
      </c>
    </row>
    <row r="23" spans="2:29" ht="15.75">
      <c r="B23" s="12" t="s">
        <v>29</v>
      </c>
      <c r="C23" s="28">
        <v>0.34327875901057431</v>
      </c>
      <c r="D23" s="28">
        <v>0.35957817957239685</v>
      </c>
      <c r="E23" s="28">
        <v>0.35185267843523671</v>
      </c>
      <c r="F23" s="28">
        <v>0.2853471233245044</v>
      </c>
      <c r="G23" s="28">
        <v>0.30473289015255178</v>
      </c>
      <c r="H23" s="28">
        <v>0.29533472921204673</v>
      </c>
      <c r="I23" s="29">
        <v>0.25113646787333599</v>
      </c>
      <c r="J23" s="29">
        <v>0.29606921167963285</v>
      </c>
      <c r="K23" s="29">
        <v>0.27432440534114733</v>
      </c>
      <c r="L23" s="30">
        <f t="shared" si="3"/>
        <v>0.26387130576219603</v>
      </c>
      <c r="M23" s="30">
        <f t="shared" si="2"/>
        <v>0.23460421529480377</v>
      </c>
      <c r="N23" s="30">
        <f t="shared" si="2"/>
        <v>0.24880512131463645</v>
      </c>
      <c r="O23" s="30">
        <f t="shared" si="2"/>
        <v>0.23935061403826202</v>
      </c>
      <c r="P23" s="30">
        <f t="shared" si="2"/>
        <v>0.26901365676581679</v>
      </c>
      <c r="Q23" s="30">
        <f t="shared" si="2"/>
        <v>0.25418213540203943</v>
      </c>
      <c r="R23" s="30">
        <f t="shared" si="2"/>
        <v>0.24701225103767085</v>
      </c>
      <c r="S23" s="30">
        <f t="shared" si="2"/>
        <v>0.23773139874267235</v>
      </c>
      <c r="T23" s="30">
        <f t="shared" si="2"/>
        <v>0.24237182489017162</v>
      </c>
      <c r="U23" s="30">
        <f t="shared" si="2"/>
        <v>0.24901660011944227</v>
      </c>
      <c r="V23" s="30">
        <f t="shared" si="2"/>
        <v>0.22938479146543636</v>
      </c>
      <c r="W23" s="30">
        <f t="shared" si="2"/>
        <v>0.2392006957924393</v>
      </c>
      <c r="X23" s="30">
        <f t="shared" si="2"/>
        <v>0.24337039516919851</v>
      </c>
      <c r="Y23" s="30">
        <f t="shared" si="2"/>
        <v>0.21382655451862795</v>
      </c>
      <c r="Z23" s="30">
        <f t="shared" si="2"/>
        <v>0.22859847484391321</v>
      </c>
      <c r="AA23" s="30">
        <f t="shared" si="2"/>
        <v>0.23334584387679011</v>
      </c>
      <c r="AB23" s="30">
        <f t="shared" si="2"/>
        <v>0.2255027924007767</v>
      </c>
      <c r="AC23" s="30">
        <f t="shared" si="2"/>
        <v>0.22942431813878342</v>
      </c>
    </row>
    <row r="24" spans="2:29" ht="15.75">
      <c r="B24" s="12" t="s">
        <v>30</v>
      </c>
      <c r="C24" s="28">
        <v>-0.15827996569704364</v>
      </c>
      <c r="D24" s="28">
        <v>-0.1650276717540744</v>
      </c>
      <c r="E24" s="28">
        <v>-0.16182943469901528</v>
      </c>
      <c r="F24" s="28">
        <v>-0.11577463392411952</v>
      </c>
      <c r="G24" s="28">
        <v>-0.12310457421183184</v>
      </c>
      <c r="H24" s="28">
        <v>-0.11955104139988525</v>
      </c>
      <c r="I24" s="29">
        <v>-8.5872993752715107E-2</v>
      </c>
      <c r="J24" s="29">
        <v>-0.12896534383078345</v>
      </c>
      <c r="K24" s="29">
        <v>-0.10811117985723813</v>
      </c>
      <c r="L24" s="30">
        <f t="shared" si="3"/>
        <v>-9.3027633235221383E-2</v>
      </c>
      <c r="M24" s="30">
        <f t="shared" si="2"/>
        <v>-7.4218415448149333E-2</v>
      </c>
      <c r="N24" s="30">
        <f t="shared" si="2"/>
        <v>-8.3344978076517584E-2</v>
      </c>
      <c r="O24" s="30">
        <f t="shared" si="2"/>
        <v>-7.6277457795337927E-2</v>
      </c>
      <c r="P24" s="30">
        <f t="shared" si="2"/>
        <v>-9.07243397178185E-2</v>
      </c>
      <c r="Q24" s="30">
        <f t="shared" si="2"/>
        <v>-8.3398712072667039E-2</v>
      </c>
      <c r="R24" s="30">
        <f t="shared" si="2"/>
        <v>-7.6397445171751385E-2</v>
      </c>
      <c r="S24" s="30">
        <f t="shared" si="2"/>
        <v>-5.7006080976511712E-2</v>
      </c>
      <c r="T24" s="30">
        <f t="shared" si="2"/>
        <v>-6.6701763074131545E-2</v>
      </c>
      <c r="U24" s="30">
        <f t="shared" si="2"/>
        <v>-7.4976529186391458E-2</v>
      </c>
      <c r="V24" s="30">
        <f t="shared" si="2"/>
        <v>-4.4523113539589459E-2</v>
      </c>
      <c r="W24" s="30">
        <f t="shared" si="2"/>
        <v>-5.9749821362990459E-2</v>
      </c>
      <c r="X24" s="30">
        <f t="shared" si="2"/>
        <v>-6.6992715204740774E-2</v>
      </c>
      <c r="Y24" s="30">
        <f t="shared" si="2"/>
        <v>-2.6508631584148182E-2</v>
      </c>
      <c r="Z24" s="30">
        <f t="shared" si="2"/>
        <v>-4.6750673394444477E-2</v>
      </c>
      <c r="AA24" s="30">
        <f t="shared" si="2"/>
        <v>-5.5143823009935471E-2</v>
      </c>
      <c r="AB24" s="30">
        <f t="shared" si="2"/>
        <v>-3.6278317466395746E-2</v>
      </c>
      <c r="AC24" s="30">
        <f t="shared" si="2"/>
        <v>-4.5711070238165626E-2</v>
      </c>
    </row>
    <row r="25" spans="2:29"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</row>
    <row r="26" spans="2:29" ht="15" thickBot="1">
      <c r="B26" s="110" t="s">
        <v>109</v>
      </c>
    </row>
    <row r="27" spans="2:29" ht="15.75" thickTop="1" thickBot="1">
      <c r="B27" s="109" t="s">
        <v>114</v>
      </c>
      <c r="C27" s="31" t="str">
        <f>+C6</f>
        <v>Jul-Dec</v>
      </c>
      <c r="D27" s="31" t="str">
        <f>+D6</f>
        <v>Jan-Jun</v>
      </c>
      <c r="E27" s="32" t="str">
        <f>+E5</f>
        <v>2021/2022</v>
      </c>
      <c r="F27" s="31" t="str">
        <f>+F6</f>
        <v>Jul-Dec</v>
      </c>
      <c r="G27" s="31" t="str">
        <f>+G6</f>
        <v>Jan-Jun</v>
      </c>
      <c r="H27" s="32" t="str">
        <f>+H5</f>
        <v>2022/2023</v>
      </c>
      <c r="I27" s="31" t="str">
        <f>+I6</f>
        <v>Jul-Dec</v>
      </c>
      <c r="J27" s="31" t="str">
        <f>+J6</f>
        <v>Jan-Jun</v>
      </c>
      <c r="K27" s="32" t="str">
        <f>+K5</f>
        <v>2023/2024</v>
      </c>
      <c r="L27" s="31" t="str">
        <f>+L6</f>
        <v>Jul-Dec</v>
      </c>
      <c r="M27" s="31" t="str">
        <f>+M6</f>
        <v>Jan-Jun</v>
      </c>
      <c r="N27" s="32" t="str">
        <f>+N5</f>
        <v>2024/2025</v>
      </c>
      <c r="O27" s="33" t="str">
        <f>+O6</f>
        <v>Jul-Dec</v>
      </c>
      <c r="P27" s="33" t="str">
        <f>+P6</f>
        <v>Jan-Jun</v>
      </c>
      <c r="Q27" s="32" t="str">
        <f>+Q5</f>
        <v>2025/2026</v>
      </c>
      <c r="R27" s="33" t="str">
        <f>+R6</f>
        <v>Jul-Dec</v>
      </c>
      <c r="S27" s="33" t="str">
        <f>+S6</f>
        <v>Jan-Jun</v>
      </c>
      <c r="T27" s="32" t="str">
        <f>+T5</f>
        <v>2026/2027</v>
      </c>
      <c r="U27" s="33" t="str">
        <f>+U6</f>
        <v>Jul-Dec</v>
      </c>
      <c r="V27" s="33" t="str">
        <f>+V6</f>
        <v>Jan-Jun</v>
      </c>
      <c r="W27" s="32" t="str">
        <f>+W5</f>
        <v>2027/2028</v>
      </c>
      <c r="X27" s="33" t="str">
        <f>+X6</f>
        <v>Jul-Dec</v>
      </c>
      <c r="Y27" s="33" t="str">
        <f>+Y6</f>
        <v>Jan-Jun</v>
      </c>
      <c r="Z27" s="32" t="str">
        <f>+Z5</f>
        <v>2028/2029</v>
      </c>
      <c r="AA27" s="33" t="str">
        <f>+AA6</f>
        <v>Jul-Dec</v>
      </c>
      <c r="AB27" s="33" t="str">
        <f>+AB6</f>
        <v>Jan-Jun</v>
      </c>
      <c r="AC27" s="32" t="str">
        <f>+AC5</f>
        <v>2029/2030</v>
      </c>
    </row>
    <row r="28" spans="2:29" ht="16.5" thickTop="1">
      <c r="B28" s="35" t="str">
        <f>+B24</f>
        <v>Deficit (Excl. Grants ) % of GDP</v>
      </c>
      <c r="C28" s="36">
        <f t="shared" ref="C28:D28" si="4">+C24</f>
        <v>-0.15827996569704364</v>
      </c>
      <c r="D28" s="36">
        <f t="shared" si="4"/>
        <v>-0.1650276717540744</v>
      </c>
      <c r="E28" s="64">
        <f>+E24</f>
        <v>-0.16182943469901528</v>
      </c>
      <c r="F28" s="36">
        <f t="shared" ref="F28:G28" si="5">+F24</f>
        <v>-0.11577463392411952</v>
      </c>
      <c r="G28" s="36">
        <f t="shared" si="5"/>
        <v>-0.12310457421183184</v>
      </c>
      <c r="H28" s="64">
        <f>+H24</f>
        <v>-0.11955104139988525</v>
      </c>
      <c r="I28" s="36">
        <f t="shared" ref="I28:J28" si="6">+I24</f>
        <v>-8.5872993752715107E-2</v>
      </c>
      <c r="J28" s="36">
        <f t="shared" si="6"/>
        <v>-0.12896534383078345</v>
      </c>
      <c r="K28" s="64">
        <f>+K24</f>
        <v>-0.10811117985723813</v>
      </c>
      <c r="L28" s="36">
        <f t="shared" ref="L28:M28" si="7">+L24</f>
        <v>-9.3027633235221383E-2</v>
      </c>
      <c r="M28" s="36">
        <f t="shared" si="7"/>
        <v>-7.4218415448149333E-2</v>
      </c>
      <c r="N28" s="64">
        <f>+N24</f>
        <v>-8.3344978076517584E-2</v>
      </c>
      <c r="O28" s="36">
        <f t="shared" ref="O28:AC28" si="8">+O24</f>
        <v>-7.6277457795337927E-2</v>
      </c>
      <c r="P28" s="36">
        <f t="shared" si="8"/>
        <v>-9.07243397178185E-2</v>
      </c>
      <c r="Q28" s="64">
        <f t="shared" si="8"/>
        <v>-8.3398712072667039E-2</v>
      </c>
      <c r="R28" s="36">
        <f t="shared" si="8"/>
        <v>-7.6397445171751385E-2</v>
      </c>
      <c r="S28" s="36">
        <f t="shared" si="8"/>
        <v>-5.7006080976511712E-2</v>
      </c>
      <c r="T28" s="64">
        <f t="shared" si="8"/>
        <v>-6.6701763074131545E-2</v>
      </c>
      <c r="U28" s="36">
        <f t="shared" si="8"/>
        <v>-7.4976529186391458E-2</v>
      </c>
      <c r="V28" s="36">
        <f t="shared" si="8"/>
        <v>-4.4523113539589459E-2</v>
      </c>
      <c r="W28" s="64">
        <f t="shared" si="8"/>
        <v>-5.9749821362990459E-2</v>
      </c>
      <c r="X28" s="36">
        <f t="shared" si="8"/>
        <v>-6.6992715204740774E-2</v>
      </c>
      <c r="Y28" s="36">
        <f t="shared" si="8"/>
        <v>-2.6508631584148182E-2</v>
      </c>
      <c r="Z28" s="64">
        <f t="shared" si="8"/>
        <v>-4.6750673394444477E-2</v>
      </c>
      <c r="AA28" s="36">
        <f t="shared" si="8"/>
        <v>-5.5143823009935471E-2</v>
      </c>
      <c r="AB28" s="36">
        <f t="shared" si="8"/>
        <v>-3.6278317466395746E-2</v>
      </c>
      <c r="AC28" s="64">
        <f t="shared" si="8"/>
        <v>-4.5711070238165626E-2</v>
      </c>
    </row>
    <row r="29" spans="2:29" ht="14.5">
      <c r="B29" s="77" t="s">
        <v>65</v>
      </c>
      <c r="O29" s="37">
        <f>O35-O42-O49</f>
        <v>0</v>
      </c>
      <c r="P29" s="37">
        <f t="shared" ref="P29:AC29" si="9">P35-P42-P49</f>
        <v>0</v>
      </c>
      <c r="Q29" s="37">
        <f t="shared" si="9"/>
        <v>0</v>
      </c>
      <c r="R29" s="37">
        <f t="shared" si="9"/>
        <v>1.2E-2</v>
      </c>
      <c r="S29" s="37">
        <f t="shared" si="9"/>
        <v>-1.2E-2</v>
      </c>
      <c r="T29" s="37">
        <f t="shared" si="9"/>
        <v>0</v>
      </c>
      <c r="U29" s="37">
        <f t="shared" si="9"/>
        <v>1.3000000000000001E-2</v>
      </c>
      <c r="V29" s="37">
        <f t="shared" si="9"/>
        <v>-1.3000000000000001E-2</v>
      </c>
      <c r="W29" s="37">
        <f t="shared" si="9"/>
        <v>0</v>
      </c>
      <c r="X29" s="37">
        <f t="shared" si="9"/>
        <v>2.4E-2</v>
      </c>
      <c r="Y29" s="37">
        <f t="shared" si="9"/>
        <v>-2.4E-2</v>
      </c>
      <c r="Z29" s="37">
        <f t="shared" si="9"/>
        <v>0</v>
      </c>
      <c r="AA29" s="37">
        <f t="shared" si="9"/>
        <v>1.2E-2</v>
      </c>
      <c r="AB29" s="37">
        <f t="shared" si="9"/>
        <v>-1.2E-2</v>
      </c>
      <c r="AC29" s="37">
        <f t="shared" si="9"/>
        <v>0</v>
      </c>
    </row>
    <row r="30" spans="2:29" ht="15" thickBot="1">
      <c r="B30" s="38" t="s">
        <v>38</v>
      </c>
      <c r="O30" s="39">
        <f>+O28+O29</f>
        <v>-7.6277457795337927E-2</v>
      </c>
      <c r="P30" s="39">
        <f t="shared" ref="P30:AC30" si="10">+P28+P29</f>
        <v>-9.07243397178185E-2</v>
      </c>
      <c r="Q30" s="39">
        <f t="shared" si="10"/>
        <v>-8.3398712072667039E-2</v>
      </c>
      <c r="R30" s="39">
        <f t="shared" si="10"/>
        <v>-6.4397445171751388E-2</v>
      </c>
      <c r="S30" s="39">
        <f t="shared" si="10"/>
        <v>-6.9006080976511716E-2</v>
      </c>
      <c r="T30" s="39">
        <f t="shared" si="10"/>
        <v>-6.6701763074131545E-2</v>
      </c>
      <c r="U30" s="39">
        <f t="shared" si="10"/>
        <v>-6.197652918639146E-2</v>
      </c>
      <c r="V30" s="39">
        <f t="shared" si="10"/>
        <v>-5.7523113539589457E-2</v>
      </c>
      <c r="W30" s="39">
        <f t="shared" si="10"/>
        <v>-5.9749821362990459E-2</v>
      </c>
      <c r="X30" s="39">
        <f t="shared" si="10"/>
        <v>-4.2992715204740774E-2</v>
      </c>
      <c r="Y30" s="39">
        <f t="shared" si="10"/>
        <v>-5.0508631584148186E-2</v>
      </c>
      <c r="Z30" s="39">
        <f t="shared" si="10"/>
        <v>-4.6750673394444477E-2</v>
      </c>
      <c r="AA30" s="39">
        <f t="shared" si="10"/>
        <v>-4.3143823009935467E-2</v>
      </c>
      <c r="AB30" s="39">
        <f t="shared" si="10"/>
        <v>-4.8278317466395743E-2</v>
      </c>
      <c r="AC30" s="39">
        <f t="shared" si="10"/>
        <v>-4.5711070238165626E-2</v>
      </c>
    </row>
    <row r="31" spans="2:29" ht="15" thickTop="1">
      <c r="B31" t="s">
        <v>39</v>
      </c>
      <c r="O31" s="40">
        <f>+O37-O44-O51</f>
        <v>-7.6277457795337969E-2</v>
      </c>
      <c r="P31" s="41">
        <f>+P37-P44-P51</f>
        <v>-9.6640500522892761E-2</v>
      </c>
      <c r="Q31" s="42"/>
      <c r="R31" s="43">
        <f>+R37-R44-R51</f>
        <v>-6.4339094794746796E-2</v>
      </c>
      <c r="S31" s="41">
        <f>+S37-S44-S51</f>
        <v>-7.105824249974832E-2</v>
      </c>
      <c r="T31" s="42"/>
      <c r="U31" s="43">
        <f>+U37-U44-U51</f>
        <v>-6.2343443876518197E-2</v>
      </c>
      <c r="V31" s="41">
        <f>+V37-V44-V51</f>
        <v>-6.0011635222512322E-2</v>
      </c>
      <c r="W31" s="42"/>
      <c r="X31" s="43">
        <f>+X37-X44-X51</f>
        <v>-4.4797238926274401E-2</v>
      </c>
      <c r="Y31" s="41">
        <f>+Y37-Y44-Y51</f>
        <v>-5.1153398275703831E-2</v>
      </c>
      <c r="Z31" s="42"/>
      <c r="AA31" s="43">
        <f>+AA37-AA44-AA51</f>
        <v>-4.4072687633866001E-2</v>
      </c>
      <c r="AB31" s="41">
        <f>+AB37-AB44-AB51</f>
        <v>-4.9229636157852676E-2</v>
      </c>
      <c r="AC31" s="85"/>
    </row>
    <row r="32" spans="2:29" ht="15" thickBot="1">
      <c r="B32" t="s">
        <v>40</v>
      </c>
      <c r="O32" s="45">
        <f>+O38-O45-O52</f>
        <v>-7.6277457795337969E-2</v>
      </c>
      <c r="P32" s="46">
        <f>+P38-P45-P52</f>
        <v>-8.7340500522892758E-2</v>
      </c>
      <c r="Q32" s="47" t="str">
        <f>IF(ABS(AVERAGE(O31:P32)-Q30)&gt;0.001,"check","")</f>
        <v/>
      </c>
      <c r="R32" s="48">
        <f>+R38-R45-R52</f>
        <v>-6.4339094794746796E-2</v>
      </c>
      <c r="S32" s="46">
        <f>+S38-S45-S52</f>
        <v>-6.7058242499748316E-2</v>
      </c>
      <c r="T32" s="47" t="str">
        <f>IF(ABS(AVERAGE(R31:S32)-T30)&gt;0.001,"check","")</f>
        <v/>
      </c>
      <c r="U32" s="48">
        <f>+U38-U45-U52</f>
        <v>-6.1343443876518196E-2</v>
      </c>
      <c r="V32" s="46">
        <f>+V38-V45-V52</f>
        <v>-5.8311635222512315E-2</v>
      </c>
      <c r="W32" s="86" t="str">
        <f>IF(ABS(AVERAGE(U31:V32)-W30)&gt;0.001,"check","")</f>
        <v/>
      </c>
      <c r="X32" s="48">
        <f>+X38-X45-X52</f>
        <v>-4.2797238926274399E-2</v>
      </c>
      <c r="Y32" s="46">
        <f>+Y38-Y45-Y52</f>
        <v>-4.905339827570384E-2</v>
      </c>
      <c r="Z32" s="47" t="str">
        <f>IF(ABS(AVERAGE(X31:Y32)-Z30)&gt;0.001,"check","")</f>
        <v/>
      </c>
      <c r="AA32" s="48">
        <f>+AA38-AA45-AA52</f>
        <v>-4.2572687633865999E-2</v>
      </c>
      <c r="AB32" s="46">
        <f>+AB38-AB45-AB52</f>
        <v>-4.7729636157852674E-2</v>
      </c>
      <c r="AC32" s="87" t="str">
        <f>IF(ABS(AVERAGE(AA31:AB32)-AC30)&gt;0.001,"check","")</f>
        <v/>
      </c>
    </row>
    <row r="33" spans="2:29" ht="15" thickTop="1"/>
    <row r="34" spans="2:29" ht="16.5" customHeight="1">
      <c r="B34" s="49" t="str">
        <f>+B18</f>
        <v>Grev in % of GDP</v>
      </c>
      <c r="C34" s="13">
        <f t="shared" ref="C34:AC34" si="11">+C18</f>
        <v>0.18499879331353064</v>
      </c>
      <c r="D34" s="13">
        <f t="shared" si="11"/>
        <v>0.19455050781832242</v>
      </c>
      <c r="E34" s="82">
        <f t="shared" si="11"/>
        <v>0.1900232437362214</v>
      </c>
      <c r="F34" s="13">
        <f t="shared" si="11"/>
        <v>0.16957248940038488</v>
      </c>
      <c r="G34" s="13">
        <f t="shared" si="11"/>
        <v>0.18162831594071996</v>
      </c>
      <c r="H34" s="82">
        <f t="shared" si="11"/>
        <v>0.17578368781216153</v>
      </c>
      <c r="I34" s="13">
        <f t="shared" si="11"/>
        <v>0.16526347412062087</v>
      </c>
      <c r="J34" s="13">
        <f t="shared" si="11"/>
        <v>0.16710386784884937</v>
      </c>
      <c r="K34" s="82">
        <f t="shared" si="11"/>
        <v>0.16621322548390918</v>
      </c>
      <c r="L34" s="13">
        <f t="shared" si="11"/>
        <v>0.17084367252697466</v>
      </c>
      <c r="M34" s="13">
        <f t="shared" si="11"/>
        <v>0.16038579984665441</v>
      </c>
      <c r="N34" s="82">
        <f t="shared" si="11"/>
        <v>0.16546014323811883</v>
      </c>
      <c r="O34" s="13">
        <f t="shared" si="11"/>
        <v>0.16307315624292407</v>
      </c>
      <c r="P34" s="13">
        <f t="shared" si="11"/>
        <v>0.1782893170479983</v>
      </c>
      <c r="Q34" s="82">
        <f t="shared" si="11"/>
        <v>0.17068123664546117</v>
      </c>
      <c r="R34" s="13">
        <f t="shared" si="11"/>
        <v>0.17061480586591948</v>
      </c>
      <c r="S34" s="13">
        <f t="shared" si="11"/>
        <v>0.18072531776616066</v>
      </c>
      <c r="T34" s="82">
        <f t="shared" si="11"/>
        <v>0.17567006181604009</v>
      </c>
      <c r="U34" s="13">
        <f t="shared" si="11"/>
        <v>0.17404007093305077</v>
      </c>
      <c r="V34" s="13">
        <f t="shared" si="11"/>
        <v>0.18486167792584693</v>
      </c>
      <c r="W34" s="82">
        <f t="shared" si="11"/>
        <v>0.17945087442944885</v>
      </c>
      <c r="X34" s="13">
        <f t="shared" si="11"/>
        <v>0.17637767996445769</v>
      </c>
      <c r="Y34" s="13">
        <f t="shared" si="11"/>
        <v>0.18731792293447977</v>
      </c>
      <c r="Z34" s="82">
        <f t="shared" si="11"/>
        <v>0.18184780144946874</v>
      </c>
      <c r="AA34" s="13">
        <f t="shared" si="11"/>
        <v>0.17820202086685463</v>
      </c>
      <c r="AB34" s="13">
        <f t="shared" si="11"/>
        <v>0.18922447493438097</v>
      </c>
      <c r="AC34" s="82">
        <f t="shared" si="11"/>
        <v>0.1837132479006178</v>
      </c>
    </row>
    <row r="35" spans="2:29" ht="16.5" customHeight="1">
      <c r="B35" s="77" t="str">
        <f>+B42</f>
        <v xml:space="preserve">correction </v>
      </c>
      <c r="L35" s="13"/>
      <c r="M35" s="13"/>
      <c r="N35" s="13"/>
      <c r="O35" s="37"/>
      <c r="P35" s="37">
        <f>-O35</f>
        <v>0</v>
      </c>
      <c r="Q35" s="37">
        <f>+O35+P35</f>
        <v>0</v>
      </c>
      <c r="R35" s="78">
        <v>2E-3</v>
      </c>
      <c r="S35" s="78">
        <f>-R35</f>
        <v>-2E-3</v>
      </c>
      <c r="T35" s="37">
        <f>+R35+S35</f>
        <v>0</v>
      </c>
      <c r="U35" s="78">
        <v>3.0000000000000001E-3</v>
      </c>
      <c r="V35" s="78">
        <f>-U35</f>
        <v>-3.0000000000000001E-3</v>
      </c>
      <c r="W35" s="37">
        <f>+U35+V35</f>
        <v>0</v>
      </c>
      <c r="X35" s="78">
        <v>4.0000000000000001E-3</v>
      </c>
      <c r="Y35" s="78">
        <f>-X35</f>
        <v>-4.0000000000000001E-3</v>
      </c>
      <c r="Z35" s="37">
        <f>+X35+Y35</f>
        <v>0</v>
      </c>
      <c r="AA35" s="78">
        <v>4.0000000000000001E-3</v>
      </c>
      <c r="AB35" s="78">
        <f>-AA35</f>
        <v>-4.0000000000000001E-3</v>
      </c>
      <c r="AC35" s="37">
        <f>+AA35+AB35</f>
        <v>0</v>
      </c>
    </row>
    <row r="36" spans="2:29" ht="16.5" customHeight="1" thickBot="1">
      <c r="B36" s="38" t="s">
        <v>57</v>
      </c>
      <c r="L36" s="13"/>
      <c r="M36" s="13"/>
      <c r="N36" s="13"/>
      <c r="O36" s="39">
        <f>+O34+O35</f>
        <v>0.16307315624292407</v>
      </c>
      <c r="P36" s="39">
        <f t="shared" ref="P36:Q36" si="12">+P34+P35</f>
        <v>0.1782893170479983</v>
      </c>
      <c r="Q36" s="39">
        <f t="shared" si="12"/>
        <v>0.17068123664546117</v>
      </c>
      <c r="R36" s="39">
        <f>+R34+R35</f>
        <v>0.17261480586591949</v>
      </c>
      <c r="S36" s="39">
        <f t="shared" ref="S36:T36" si="13">+S34+S35</f>
        <v>0.17872531776616066</v>
      </c>
      <c r="T36" s="39">
        <f t="shared" si="13"/>
        <v>0.17567006181604009</v>
      </c>
      <c r="U36" s="39">
        <f>+U34+U35</f>
        <v>0.17704007093305077</v>
      </c>
      <c r="V36" s="39">
        <f t="shared" ref="V36:W36" si="14">+V34+V35</f>
        <v>0.18186167792584693</v>
      </c>
      <c r="W36" s="39">
        <f t="shared" si="14"/>
        <v>0.17945087442944885</v>
      </c>
      <c r="X36" s="39">
        <f>+X34+X35</f>
        <v>0.18037767996445769</v>
      </c>
      <c r="Y36" s="39">
        <f t="shared" ref="Y36:Z36" si="15">+Y34+Y35</f>
        <v>0.18331792293447977</v>
      </c>
      <c r="Z36" s="39">
        <f t="shared" si="15"/>
        <v>0.18184780144946874</v>
      </c>
      <c r="AA36" s="39">
        <f>+AA34+AA35</f>
        <v>0.18220202086685464</v>
      </c>
      <c r="AB36" s="39">
        <f t="shared" ref="AB36:AC36" si="16">+AB34+AB35</f>
        <v>0.18522447493438096</v>
      </c>
      <c r="AC36" s="39">
        <f t="shared" si="16"/>
        <v>0.1837132479006178</v>
      </c>
    </row>
    <row r="37" spans="2:29" ht="15" thickTop="1">
      <c r="B37" t="s">
        <v>41</v>
      </c>
      <c r="L37" s="50"/>
      <c r="M37" s="50"/>
      <c r="N37" s="50"/>
      <c r="O37" s="40">
        <f>+O36</f>
        <v>0.16307315624292407</v>
      </c>
      <c r="P37" s="41">
        <f>+O38+P39</f>
        <v>0.17237315624292407</v>
      </c>
      <c r="Q37" s="43"/>
      <c r="R37" s="43">
        <f>+P38-0.009</f>
        <v>0.17267315624292406</v>
      </c>
      <c r="S37" s="41">
        <f>+R38+S39</f>
        <v>0.17667315624292407</v>
      </c>
      <c r="T37" s="43"/>
      <c r="U37" s="43">
        <f>+S38-0.004</f>
        <v>0.17667315624292407</v>
      </c>
      <c r="V37" s="41">
        <f>+U38+V39</f>
        <v>0.17937315624292408</v>
      </c>
      <c r="W37" s="43"/>
      <c r="X37" s="43">
        <f>+V38-0.0025</f>
        <v>0.17857315624292408</v>
      </c>
      <c r="Y37" s="41">
        <f>+X38+Y39</f>
        <v>0.18267315624292407</v>
      </c>
      <c r="Z37" s="43"/>
      <c r="AA37" s="43">
        <f>+Y38-0.0035</f>
        <v>0.18127315624292406</v>
      </c>
      <c r="AB37" s="41">
        <f>+AA38+AB39</f>
        <v>0.18427315624292406</v>
      </c>
      <c r="AC37" s="88"/>
    </row>
    <row r="38" spans="2:29" ht="15" thickBot="1">
      <c r="B38" t="s">
        <v>42</v>
      </c>
      <c r="L38" s="50"/>
      <c r="M38" s="50"/>
      <c r="N38" s="50"/>
      <c r="O38" s="45">
        <f>+O36+O39</f>
        <v>0.16307315624292407</v>
      </c>
      <c r="P38" s="46">
        <f>+P37+P39</f>
        <v>0.18167315624292407</v>
      </c>
      <c r="Q38" s="47" t="str">
        <f>IF(ABS(AVERAGE(O37:P38)-Q36)&gt;0.001,"check","")</f>
        <v/>
      </c>
      <c r="R38" s="48">
        <f>+R37+R39</f>
        <v>0.17267315624292406</v>
      </c>
      <c r="S38" s="46">
        <f>+S37+S39</f>
        <v>0.18067315624292407</v>
      </c>
      <c r="T38" s="47" t="str">
        <f>IF(ABS(AVERAGE(R37:S38)-T36)&gt;0.001,"check","")</f>
        <v/>
      </c>
      <c r="U38" s="48">
        <f>+U37+U39</f>
        <v>0.17767315624292407</v>
      </c>
      <c r="V38" s="46">
        <f>+V37+V39</f>
        <v>0.18107315624292408</v>
      </c>
      <c r="W38" s="86" t="str">
        <f>IF(ABS(AVERAGE(U37:V38)-W36)&gt;0.001,"check","")</f>
        <v/>
      </c>
      <c r="X38" s="48">
        <f>+X37+X39</f>
        <v>0.18057315624292408</v>
      </c>
      <c r="Y38" s="46">
        <f>+Y37+Y39</f>
        <v>0.18477315624292406</v>
      </c>
      <c r="Z38" s="47" t="str">
        <f>IF(ABS(AVERAGE(X37:Y38)-Z36)&gt;0.001,"check","")</f>
        <v/>
      </c>
      <c r="AA38" s="48">
        <f>+AA37+AA39</f>
        <v>0.18277315624292406</v>
      </c>
      <c r="AB38" s="46">
        <f>+AB37+AB39</f>
        <v>0.18577315624292406</v>
      </c>
      <c r="AC38" s="87" t="str">
        <f>IF(ABS(AVERAGE(AA37:AB38)-AC36)&gt;0.001,"check","")</f>
        <v/>
      </c>
    </row>
    <row r="39" spans="2:29" ht="15" thickTop="1">
      <c r="L39" s="50"/>
      <c r="M39" s="50"/>
      <c r="N39" s="50"/>
      <c r="O39" s="50">
        <v>0</v>
      </c>
      <c r="P39" s="50">
        <v>9.2999999999999992E-3</v>
      </c>
      <c r="Q39" s="50">
        <f>+AVERAGE(O37:P38)</f>
        <v>0.17004815624292408</v>
      </c>
      <c r="R39" s="50">
        <v>0</v>
      </c>
      <c r="S39" s="50">
        <v>4.0000000000000001E-3</v>
      </c>
      <c r="T39" s="50">
        <f>+AVERAGE(R37:S38)</f>
        <v>0.17567315624292407</v>
      </c>
      <c r="U39" s="50">
        <v>1E-3</v>
      </c>
      <c r="V39" s="50">
        <v>1.6999999999999999E-3</v>
      </c>
      <c r="W39" s="50">
        <f>+AVERAGE(U37:V38)</f>
        <v>0.17869815624292409</v>
      </c>
      <c r="X39" s="50">
        <v>2E-3</v>
      </c>
      <c r="Y39" s="50">
        <v>2.0999999999999999E-3</v>
      </c>
      <c r="Z39" s="50">
        <f>+AVERAGE(X37:Y38)</f>
        <v>0.18164815624292407</v>
      </c>
      <c r="AA39" s="50">
        <v>1.5E-3</v>
      </c>
      <c r="AB39" s="50">
        <v>1.5E-3</v>
      </c>
      <c r="AC39" s="50">
        <f>+AVERAGE(AA37:AB38)</f>
        <v>0.18352315624292409</v>
      </c>
    </row>
    <row r="40" spans="2:29">
      <c r="L40" s="50"/>
      <c r="M40" s="50"/>
      <c r="N40" s="50"/>
      <c r="O40" s="50"/>
      <c r="P40" s="50"/>
      <c r="Q40" s="50"/>
      <c r="R40" s="50"/>
      <c r="S40" s="50"/>
      <c r="T40" s="50"/>
      <c r="U40" s="50"/>
      <c r="V40" s="50"/>
      <c r="W40" s="50"/>
      <c r="X40" s="50"/>
      <c r="Y40" s="50"/>
      <c r="Z40" s="50"/>
      <c r="AA40" s="50"/>
      <c r="AB40" s="50"/>
      <c r="AC40" s="50"/>
    </row>
    <row r="41" spans="2:29" ht="15.5" customHeight="1">
      <c r="B41" s="49" t="str">
        <f>+B19</f>
        <v>Gdem in % of GDP</v>
      </c>
      <c r="C41" s="13">
        <f t="shared" ref="C41:AC41" si="17">+C19</f>
        <v>0.27753284495082398</v>
      </c>
      <c r="D41" s="13">
        <f t="shared" si="17"/>
        <v>0.28940104091388846</v>
      </c>
      <c r="E41" s="82">
        <f t="shared" si="17"/>
        <v>0.28377582490937286</v>
      </c>
      <c r="F41" s="13">
        <f t="shared" si="17"/>
        <v>0.23014236182991465</v>
      </c>
      <c r="G41" s="13">
        <f t="shared" si="17"/>
        <v>0.25642373092229626</v>
      </c>
      <c r="H41" s="82">
        <f t="shared" si="17"/>
        <v>0.24368260292576732</v>
      </c>
      <c r="I41" s="13">
        <f t="shared" si="17"/>
        <v>0.20574123708248424</v>
      </c>
      <c r="J41" s="13">
        <f t="shared" si="17"/>
        <v>0.24523429509763753</v>
      </c>
      <c r="K41" s="82">
        <f t="shared" si="17"/>
        <v>0.22612197687473534</v>
      </c>
      <c r="L41" s="13">
        <f t="shared" si="17"/>
        <v>0.21314772338168717</v>
      </c>
      <c r="M41" s="13">
        <f t="shared" si="17"/>
        <v>0.18865090699938322</v>
      </c>
      <c r="N41" s="82">
        <f t="shared" si="17"/>
        <v>0.20053719230054018</v>
      </c>
      <c r="O41" s="13">
        <f t="shared" si="17"/>
        <v>0.18828649942779166</v>
      </c>
      <c r="P41" s="13">
        <f t="shared" si="17"/>
        <v>0.19110022215069522</v>
      </c>
      <c r="Q41" s="82">
        <f t="shared" si="17"/>
        <v>0.18969336078924343</v>
      </c>
      <c r="R41" s="13">
        <f t="shared" si="17"/>
        <v>0.18928740330000102</v>
      </c>
      <c r="S41" s="13">
        <f t="shared" si="17"/>
        <v>0.18040876655958882</v>
      </c>
      <c r="T41" s="82">
        <f t="shared" si="17"/>
        <v>0.18484808492979496</v>
      </c>
      <c r="U41" s="13">
        <f t="shared" si="17"/>
        <v>0.19484990460117188</v>
      </c>
      <c r="V41" s="13">
        <f t="shared" si="17"/>
        <v>0.18503034888548991</v>
      </c>
      <c r="W41" s="82">
        <f t="shared" si="17"/>
        <v>0.18994012674333088</v>
      </c>
      <c r="X41" s="13">
        <f t="shared" si="17"/>
        <v>0.20936618216901065</v>
      </c>
      <c r="Y41" s="13">
        <f t="shared" si="17"/>
        <v>0.17957404570351287</v>
      </c>
      <c r="Z41" s="82">
        <f t="shared" si="17"/>
        <v>0.19447011393626176</v>
      </c>
      <c r="AA41" s="13">
        <f t="shared" si="17"/>
        <v>0.20058474431071402</v>
      </c>
      <c r="AB41" s="13">
        <f t="shared" si="17"/>
        <v>0.19462159095390191</v>
      </c>
      <c r="AC41" s="82">
        <f t="shared" si="17"/>
        <v>0.19760316763230795</v>
      </c>
    </row>
    <row r="42" spans="2:29">
      <c r="B42" s="51" t="s">
        <v>43</v>
      </c>
      <c r="L42" s="52"/>
      <c r="M42" s="52"/>
      <c r="N42" s="52"/>
      <c r="O42" s="78"/>
      <c r="P42" s="78">
        <f>-O42</f>
        <v>0</v>
      </c>
      <c r="Q42" s="52">
        <f>+O42+P42</f>
        <v>0</v>
      </c>
      <c r="R42" s="79">
        <v>-0.01</v>
      </c>
      <c r="S42" s="79">
        <f>-R42</f>
        <v>0.01</v>
      </c>
      <c r="T42" s="52">
        <f>+R42+S42</f>
        <v>0</v>
      </c>
      <c r="U42" s="78">
        <v>-0.01</v>
      </c>
      <c r="V42" s="78">
        <f>-U42</f>
        <v>0.01</v>
      </c>
      <c r="W42" s="52">
        <f>+U42+V42</f>
        <v>0</v>
      </c>
      <c r="X42" s="78">
        <v>-0.02</v>
      </c>
      <c r="Y42" s="78">
        <f>-X42</f>
        <v>0.02</v>
      </c>
      <c r="Z42" s="52">
        <f>+X42+Y42</f>
        <v>0</v>
      </c>
      <c r="AA42" s="78">
        <v>-8.0000000000000002E-3</v>
      </c>
      <c r="AB42" s="78">
        <f>-AA42</f>
        <v>8.0000000000000002E-3</v>
      </c>
      <c r="AC42" s="52">
        <f>+AA42+AB42</f>
        <v>0</v>
      </c>
    </row>
    <row r="43" spans="2:29" ht="15" thickBot="1">
      <c r="B43" s="38" t="s">
        <v>66</v>
      </c>
      <c r="L43" s="53"/>
      <c r="M43" s="53"/>
      <c r="N43" s="53"/>
      <c r="O43" s="53">
        <f t="shared" ref="O43:AC43" si="18">+O41+O42</f>
        <v>0.18828649942779166</v>
      </c>
      <c r="P43" s="53">
        <f t="shared" si="18"/>
        <v>0.19110022215069522</v>
      </c>
      <c r="Q43" s="84">
        <f t="shared" si="18"/>
        <v>0.18969336078924343</v>
      </c>
      <c r="R43" s="53">
        <f t="shared" si="18"/>
        <v>0.17928740330000101</v>
      </c>
      <c r="S43" s="53">
        <f t="shared" si="18"/>
        <v>0.19040876655958883</v>
      </c>
      <c r="T43" s="84">
        <f t="shared" si="18"/>
        <v>0.18484808492979496</v>
      </c>
      <c r="U43" s="53">
        <f t="shared" si="18"/>
        <v>0.18484990460117187</v>
      </c>
      <c r="V43" s="53">
        <f t="shared" si="18"/>
        <v>0.19503034888548992</v>
      </c>
      <c r="W43" s="84">
        <f t="shared" si="18"/>
        <v>0.18994012674333088</v>
      </c>
      <c r="X43" s="53">
        <f t="shared" si="18"/>
        <v>0.18936618216901066</v>
      </c>
      <c r="Y43" s="53">
        <f t="shared" si="18"/>
        <v>0.19957404570351286</v>
      </c>
      <c r="Z43" s="84">
        <f t="shared" si="18"/>
        <v>0.19447011393626176</v>
      </c>
      <c r="AA43" s="53">
        <f t="shared" si="18"/>
        <v>0.19258474431071401</v>
      </c>
      <c r="AB43" s="53">
        <f t="shared" si="18"/>
        <v>0.20262159095390192</v>
      </c>
      <c r="AC43" s="84">
        <f t="shared" si="18"/>
        <v>0.19760316763230795</v>
      </c>
    </row>
    <row r="44" spans="2:29" ht="15" thickTop="1">
      <c r="B44" t="s">
        <v>44</v>
      </c>
      <c r="L44" s="13"/>
      <c r="M44" s="13"/>
      <c r="N44" s="13"/>
      <c r="O44" s="40">
        <f>+O43</f>
        <v>0.18828649942779166</v>
      </c>
      <c r="P44" s="43">
        <f>+P43</f>
        <v>0.19110022215069522</v>
      </c>
      <c r="Q44" s="41"/>
      <c r="R44" s="43">
        <f>+R43</f>
        <v>0.17928740330000101</v>
      </c>
      <c r="S44" s="43">
        <f>+S43</f>
        <v>0.19040876655958883</v>
      </c>
      <c r="T44" s="41"/>
      <c r="U44" s="43">
        <f>+U43</f>
        <v>0.18484990460117187</v>
      </c>
      <c r="V44" s="43">
        <f>+V43</f>
        <v>0.19503034888548992</v>
      </c>
      <c r="W44" s="41"/>
      <c r="X44" s="43">
        <f>+X43</f>
        <v>0.18936618216901066</v>
      </c>
      <c r="Y44" s="43">
        <f>+Y43</f>
        <v>0.19957404570351286</v>
      </c>
      <c r="Z44" s="41"/>
      <c r="AA44" s="43">
        <f>+AA43</f>
        <v>0.19258474431071401</v>
      </c>
      <c r="AB44" s="43">
        <f>+AB43</f>
        <v>0.20262159095390192</v>
      </c>
      <c r="AC44" s="44"/>
    </row>
    <row r="45" spans="2:29" ht="15" thickBot="1">
      <c r="B45" t="str">
        <f>+B38</f>
        <v xml:space="preserve">                                                 second Q in sem</v>
      </c>
      <c r="L45" s="13"/>
      <c r="M45" s="13"/>
      <c r="N45" s="13"/>
      <c r="O45" s="45">
        <f>+O43</f>
        <v>0.18828649942779166</v>
      </c>
      <c r="P45" s="48">
        <f>+P43</f>
        <v>0.19110022215069522</v>
      </c>
      <c r="Q45" s="47" t="str">
        <f>IF(ABS(AVERAGE(O44:P45)-Q43)&gt;0.1,"check","")</f>
        <v/>
      </c>
      <c r="R45" s="48">
        <f>+R43</f>
        <v>0.17928740330000101</v>
      </c>
      <c r="S45" s="48">
        <f>+S43</f>
        <v>0.19040876655958883</v>
      </c>
      <c r="T45" s="47" t="str">
        <f>IF(ABS(AVERAGE(R44:S45)-T43)&gt;0.1,"check","")</f>
        <v/>
      </c>
      <c r="U45" s="48">
        <f>+U43</f>
        <v>0.18484990460117187</v>
      </c>
      <c r="V45" s="48">
        <f>+V43</f>
        <v>0.19503034888548992</v>
      </c>
      <c r="W45" s="86" t="str">
        <f>IF(ABS(AVERAGE(U44:V45)-W43)&gt;0.1,"check","")</f>
        <v/>
      </c>
      <c r="X45" s="48">
        <f>+X43</f>
        <v>0.18936618216901066</v>
      </c>
      <c r="Y45" s="48">
        <f>+Y43</f>
        <v>0.19957404570351286</v>
      </c>
      <c r="Z45" s="47" t="str">
        <f>IF(ABS(AVERAGE(X44:Y45)-Z43)&gt;0.1,"check","")</f>
        <v/>
      </c>
      <c r="AA45" s="48">
        <f>+AA43</f>
        <v>0.19258474431071401</v>
      </c>
      <c r="AB45" s="48">
        <f>+AB43</f>
        <v>0.20262159095390192</v>
      </c>
      <c r="AC45" s="87" t="str">
        <f>IF(ABS(AVERAGE(AA44:AB45)-AC43)&gt;0.1,"check","")</f>
        <v/>
      </c>
    </row>
    <row r="46" spans="2:29" ht="15" thickTop="1"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</row>
    <row r="47" spans="2:29" ht="14.5">
      <c r="B47" s="49" t="str">
        <f>+B20</f>
        <v>Other Expenditure of %GDP</v>
      </c>
      <c r="C47" s="13">
        <f t="shared" ref="C47:AC47" si="19">+C20</f>
        <v>6.5745914059750388E-2</v>
      </c>
      <c r="D47" s="13">
        <f t="shared" si="19"/>
        <v>7.0177138658508359E-2</v>
      </c>
      <c r="E47" s="82">
        <f t="shared" si="19"/>
        <v>6.8076853525863817E-2</v>
      </c>
      <c r="F47" s="13">
        <f t="shared" si="19"/>
        <v>5.5204761494589742E-2</v>
      </c>
      <c r="G47" s="13">
        <f t="shared" si="19"/>
        <v>4.83091592302555E-2</v>
      </c>
      <c r="H47" s="82">
        <f t="shared" si="19"/>
        <v>5.165212628627943E-2</v>
      </c>
      <c r="I47" s="13">
        <f t="shared" si="19"/>
        <v>4.5395230790851775E-2</v>
      </c>
      <c r="J47" s="13">
        <f t="shared" si="19"/>
        <v>5.0834916581995272E-2</v>
      </c>
      <c r="K47" s="82">
        <f t="shared" si="19"/>
        <v>4.8202428466411949E-2</v>
      </c>
      <c r="L47" s="13">
        <f t="shared" si="19"/>
        <v>5.0723582380508878E-2</v>
      </c>
      <c r="M47" s="13">
        <f t="shared" si="19"/>
        <v>4.595330829542054E-2</v>
      </c>
      <c r="N47" s="82">
        <f t="shared" si="19"/>
        <v>4.8267929014096267E-2</v>
      </c>
      <c r="O47" s="13">
        <f t="shared" si="19"/>
        <v>5.1064114610470376E-2</v>
      </c>
      <c r="P47" s="13">
        <f t="shared" si="19"/>
        <v>7.791343461512161E-2</v>
      </c>
      <c r="Q47" s="82">
        <f t="shared" si="19"/>
        <v>6.4386587928884811E-2</v>
      </c>
      <c r="R47" s="13">
        <f t="shared" si="19"/>
        <v>5.7724847737669852E-2</v>
      </c>
      <c r="S47" s="13">
        <f t="shared" si="19"/>
        <v>5.7322632183083554E-2</v>
      </c>
      <c r="T47" s="82">
        <f t="shared" si="19"/>
        <v>5.7523739960376706E-2</v>
      </c>
      <c r="U47" s="13">
        <f t="shared" si="19"/>
        <v>5.4166695518270393E-2</v>
      </c>
      <c r="V47" s="13">
        <f t="shared" si="19"/>
        <v>4.4354442579946474E-2</v>
      </c>
      <c r="W47" s="82">
        <f t="shared" si="19"/>
        <v>4.926056904910843E-2</v>
      </c>
      <c r="X47" s="13">
        <f t="shared" si="19"/>
        <v>3.400421300018782E-2</v>
      </c>
      <c r="Y47" s="13">
        <f t="shared" si="19"/>
        <v>3.4252508815115039E-2</v>
      </c>
      <c r="Z47" s="82">
        <f t="shared" si="19"/>
        <v>3.412836090765143E-2</v>
      </c>
      <c r="AA47" s="13">
        <f t="shared" si="19"/>
        <v>3.2761099566076049E-2</v>
      </c>
      <c r="AB47" s="13">
        <f t="shared" si="19"/>
        <v>3.0881201446874819E-2</v>
      </c>
      <c r="AC47" s="13">
        <f t="shared" si="19"/>
        <v>3.1821150506475437E-2</v>
      </c>
    </row>
    <row r="48" spans="2:29" s="54" customFormat="1">
      <c r="B48" s="54" t="s">
        <v>45</v>
      </c>
      <c r="I48" s="55"/>
      <c r="J48" s="55"/>
      <c r="K48" s="55"/>
      <c r="L48" s="55"/>
      <c r="M48" s="55"/>
      <c r="N48" s="56">
        <f t="shared" ref="N48:P48" si="20">+N60</f>
        <v>1.6804617246653031E-3</v>
      </c>
      <c r="O48" s="56">
        <f t="shared" si="20"/>
        <v>1.1927597911482837E-2</v>
      </c>
      <c r="P48" s="56">
        <f t="shared" si="20"/>
        <v>2.986153943589917E-2</v>
      </c>
      <c r="Q48" s="56">
        <f>+Q60</f>
        <v>2.0894568673691005E-2</v>
      </c>
      <c r="R48" s="56">
        <f>+R60</f>
        <v>1.4982632219702323E-2</v>
      </c>
      <c r="S48" s="56">
        <f t="shared" ref="S48:AC48" si="21">+S60</f>
        <v>1.7310365360442864E-2</v>
      </c>
      <c r="T48" s="56">
        <f t="shared" si="21"/>
        <v>1.6146498790072593E-2</v>
      </c>
      <c r="U48" s="56">
        <f t="shared" si="21"/>
        <v>1.4608784068376906E-2</v>
      </c>
      <c r="V48" s="56">
        <f t="shared" si="21"/>
        <v>8.3031207101542416E-3</v>
      </c>
      <c r="W48" s="56">
        <f t="shared" si="21"/>
        <v>1.1455952389265573E-2</v>
      </c>
      <c r="X48" s="56">
        <f t="shared" si="21"/>
        <v>1.0714729448603598E-3</v>
      </c>
      <c r="Y48" s="56">
        <f t="shared" si="21"/>
        <v>1.0740411821684465E-3</v>
      </c>
      <c r="Z48" s="56">
        <f t="shared" si="21"/>
        <v>1.0727570635144033E-3</v>
      </c>
      <c r="AA48" s="56">
        <f t="shared" si="21"/>
        <v>8.5949009385970817E-4</v>
      </c>
      <c r="AB48" s="56">
        <f t="shared" si="21"/>
        <v>9.0280195059534328E-4</v>
      </c>
      <c r="AC48" s="56">
        <f t="shared" si="21"/>
        <v>8.8114602222752578E-4</v>
      </c>
    </row>
    <row r="49" spans="2:32" s="51" customFormat="1">
      <c r="B49" s="51" t="str">
        <f>+B29</f>
        <v>correction (+rev corr - gdem corr -oexp corr)</v>
      </c>
      <c r="I49" s="57"/>
      <c r="J49" s="57"/>
      <c r="K49" s="57"/>
      <c r="L49" s="52"/>
      <c r="M49" s="52"/>
      <c r="N49" s="52"/>
      <c r="O49" s="52">
        <v>0</v>
      </c>
      <c r="P49" s="52">
        <f>-O49</f>
        <v>0</v>
      </c>
      <c r="Q49" s="52">
        <f>+O49+P49</f>
        <v>0</v>
      </c>
      <c r="R49" s="52">
        <v>0</v>
      </c>
      <c r="S49" s="52">
        <f>-R49</f>
        <v>0</v>
      </c>
      <c r="T49" s="52">
        <f>+R49+S49</f>
        <v>0</v>
      </c>
      <c r="U49" s="52">
        <v>0</v>
      </c>
      <c r="V49" s="52">
        <f>-U49</f>
        <v>0</v>
      </c>
      <c r="W49" s="52">
        <f>+U49+V49</f>
        <v>0</v>
      </c>
      <c r="X49" s="52">
        <v>0</v>
      </c>
      <c r="Y49" s="52">
        <f>-X49</f>
        <v>0</v>
      </c>
      <c r="Z49" s="52">
        <f>+X49+Y49</f>
        <v>0</v>
      </c>
      <c r="AA49" s="52">
        <v>0</v>
      </c>
      <c r="AB49" s="52">
        <f>-AA49</f>
        <v>0</v>
      </c>
      <c r="AC49" s="52">
        <f>+AA49+AB49</f>
        <v>0</v>
      </c>
      <c r="AD49" s="52"/>
      <c r="AE49" s="52"/>
      <c r="AF49" s="52"/>
    </row>
    <row r="50" spans="2:32" ht="15" thickBot="1">
      <c r="B50" s="38" t="s">
        <v>46</v>
      </c>
      <c r="L50" s="39"/>
      <c r="M50" s="39"/>
      <c r="N50" s="39"/>
      <c r="O50" s="39">
        <f>+O47+O49</f>
        <v>5.1064114610470376E-2</v>
      </c>
      <c r="P50" s="39">
        <f t="shared" ref="P50:T50" si="22">+P47+P49</f>
        <v>7.791343461512161E-2</v>
      </c>
      <c r="Q50" s="39">
        <f t="shared" si="22"/>
        <v>6.4386587928884811E-2</v>
      </c>
      <c r="R50" s="39">
        <f t="shared" si="22"/>
        <v>5.7724847737669852E-2</v>
      </c>
      <c r="S50" s="39">
        <f t="shared" si="22"/>
        <v>5.7322632183083554E-2</v>
      </c>
      <c r="T50" s="39">
        <f t="shared" si="22"/>
        <v>5.7523739960376706E-2</v>
      </c>
      <c r="U50" s="39">
        <f>+U47+U49</f>
        <v>5.4166695518270393E-2</v>
      </c>
      <c r="V50" s="39">
        <f t="shared" ref="V50:Z50" si="23">+V47+V49</f>
        <v>4.4354442579946474E-2</v>
      </c>
      <c r="W50" s="39">
        <f t="shared" si="23"/>
        <v>4.926056904910843E-2</v>
      </c>
      <c r="X50" s="39">
        <f t="shared" si="23"/>
        <v>3.400421300018782E-2</v>
      </c>
      <c r="Y50" s="39">
        <f t="shared" si="23"/>
        <v>3.4252508815115039E-2</v>
      </c>
      <c r="Z50" s="39">
        <f t="shared" si="23"/>
        <v>3.412836090765143E-2</v>
      </c>
      <c r="AA50" s="39">
        <f>+AA47+AA49</f>
        <v>3.2761099566076049E-2</v>
      </c>
      <c r="AB50" s="39">
        <f t="shared" ref="AB50:AC50" si="24">+AB47+AB49</f>
        <v>3.0881201446874819E-2</v>
      </c>
      <c r="AC50" s="39">
        <f t="shared" si="24"/>
        <v>3.1821150506475437E-2</v>
      </c>
      <c r="AD50" s="39"/>
      <c r="AE50" s="39"/>
      <c r="AF50" s="39"/>
    </row>
    <row r="51" spans="2:32" ht="15" thickTop="1">
      <c r="B51" t="s">
        <v>47</v>
      </c>
      <c r="O51" s="40">
        <f>+O50</f>
        <v>5.1064114610470376E-2</v>
      </c>
      <c r="P51" s="43">
        <f>+P50</f>
        <v>7.791343461512161E-2</v>
      </c>
      <c r="Q51" s="41"/>
      <c r="R51" s="43">
        <f>+R50</f>
        <v>5.7724847737669852E-2</v>
      </c>
      <c r="S51" s="43">
        <f>+S50</f>
        <v>5.7322632183083554E-2</v>
      </c>
      <c r="T51" s="41"/>
      <c r="U51" s="43">
        <f>+U50</f>
        <v>5.4166695518270393E-2</v>
      </c>
      <c r="V51" s="43">
        <f>+V50</f>
        <v>4.4354442579946474E-2</v>
      </c>
      <c r="W51" s="41"/>
      <c r="X51" s="43">
        <f>+X50</f>
        <v>3.400421300018782E-2</v>
      </c>
      <c r="Y51" s="43">
        <f>+Y50</f>
        <v>3.4252508815115039E-2</v>
      </c>
      <c r="Z51" s="41"/>
      <c r="AA51" s="43">
        <f>+AA50</f>
        <v>3.2761099566076049E-2</v>
      </c>
      <c r="AB51" s="43">
        <f>+AB50</f>
        <v>3.0881201446874819E-2</v>
      </c>
      <c r="AC51" s="44"/>
    </row>
    <row r="52" spans="2:32" ht="15" thickBot="1">
      <c r="B52" t="str">
        <f>+B45</f>
        <v xml:space="preserve">                                                 second Q in sem</v>
      </c>
      <c r="O52" s="45">
        <f>+O50</f>
        <v>5.1064114610470376E-2</v>
      </c>
      <c r="P52" s="48">
        <f>+P50</f>
        <v>7.791343461512161E-2</v>
      </c>
      <c r="Q52" s="47" t="str">
        <f>IF(ABS(AVERAGE(O51:P52)-Q50)&gt;0.001,"check","")</f>
        <v/>
      </c>
      <c r="R52" s="48">
        <f>+R50</f>
        <v>5.7724847737669852E-2</v>
      </c>
      <c r="S52" s="48">
        <f>+S50</f>
        <v>5.7322632183083554E-2</v>
      </c>
      <c r="T52" s="47" t="str">
        <f>IF(ABS(AVERAGE(R51:S52)-T50)&gt;0.001,"check","")</f>
        <v/>
      </c>
      <c r="U52" s="48">
        <f>+U50</f>
        <v>5.4166695518270393E-2</v>
      </c>
      <c r="V52" s="48">
        <f>+V50</f>
        <v>4.4354442579946474E-2</v>
      </c>
      <c r="W52" s="86" t="str">
        <f>IF(ABS(AVERAGE(U51:V52)-W50)&gt;0.001,"check","")</f>
        <v/>
      </c>
      <c r="X52" s="48">
        <f>+X50</f>
        <v>3.400421300018782E-2</v>
      </c>
      <c r="Y52" s="48">
        <f>+Y50</f>
        <v>3.4252508815115039E-2</v>
      </c>
      <c r="Z52" s="47" t="str">
        <f>IF(ABS(AVERAGE(X51:Y52)-Z50)&gt;0.001,"check","")</f>
        <v/>
      </c>
      <c r="AA52" s="48">
        <f>+AA50</f>
        <v>3.2761099566076049E-2</v>
      </c>
      <c r="AB52" s="48">
        <f>+AB50</f>
        <v>3.0881201446874819E-2</v>
      </c>
      <c r="AC52" s="87" t="str">
        <f>IF(ABS(AVERAGE(AA51:AB52)-AC50)&gt;0.001,"check","")</f>
        <v/>
      </c>
    </row>
    <row r="53" spans="2:32" ht="15" thickTop="1">
      <c r="B53" t="s">
        <v>56</v>
      </c>
      <c r="Q53" s="36">
        <f>+Q50-Q48</f>
        <v>4.3492019255193803E-2</v>
      </c>
      <c r="T53" s="36">
        <f>+T50-T48</f>
        <v>4.1377241170304113E-2</v>
      </c>
      <c r="W53" s="36">
        <f>+W50-W48</f>
        <v>3.780461665984286E-2</v>
      </c>
      <c r="Z53" s="36">
        <f>+Z50-Z48</f>
        <v>3.3055603844137027E-2</v>
      </c>
      <c r="AC53" s="36">
        <f>+AC50-AC48</f>
        <v>3.0940004484247913E-2</v>
      </c>
    </row>
    <row r="55" spans="2:32" ht="13.5" customHeight="1">
      <c r="B55" s="83" t="s">
        <v>63</v>
      </c>
      <c r="L55" s="2" t="str">
        <f t="shared" ref="L55:N55" si="25">+IF(ABS(L34-L41-L47-L28)&gt;0.1,"check","")</f>
        <v/>
      </c>
      <c r="M55" s="2" t="str">
        <f t="shared" si="25"/>
        <v/>
      </c>
      <c r="N55" s="75" t="str">
        <f t="shared" si="25"/>
        <v/>
      </c>
      <c r="O55" s="58" t="str">
        <f>+IF(ABS(O34-O41-O47-O28)&gt;0.001,"check","")</f>
        <v/>
      </c>
      <c r="P55" s="58" t="str">
        <f t="shared" ref="P55:AC55" si="26">+IF(ABS(P34-P41-P47-P28)&gt;0.001,"check","")</f>
        <v/>
      </c>
      <c r="Q55" s="58" t="str">
        <f t="shared" si="26"/>
        <v/>
      </c>
      <c r="R55" s="58" t="str">
        <f t="shared" si="26"/>
        <v/>
      </c>
      <c r="S55" s="58" t="str">
        <f t="shared" si="26"/>
        <v/>
      </c>
      <c r="T55" s="58" t="str">
        <f t="shared" si="26"/>
        <v/>
      </c>
      <c r="U55" s="58" t="str">
        <f t="shared" si="26"/>
        <v/>
      </c>
      <c r="V55" s="58" t="str">
        <f t="shared" si="26"/>
        <v/>
      </c>
      <c r="W55" s="58" t="str">
        <f t="shared" si="26"/>
        <v/>
      </c>
      <c r="X55" s="58" t="str">
        <f t="shared" si="26"/>
        <v/>
      </c>
      <c r="Y55" s="58" t="str">
        <f t="shared" si="26"/>
        <v/>
      </c>
      <c r="Z55" s="58" t="str">
        <f t="shared" si="26"/>
        <v/>
      </c>
      <c r="AA55" s="58" t="str">
        <f t="shared" si="26"/>
        <v/>
      </c>
      <c r="AB55" s="58" t="str">
        <f t="shared" si="26"/>
        <v/>
      </c>
      <c r="AC55" s="58" t="str">
        <f t="shared" si="26"/>
        <v/>
      </c>
    </row>
    <row r="56" spans="2:32">
      <c r="B56" s="83" t="s">
        <v>64</v>
      </c>
      <c r="L56" s="60"/>
      <c r="M56" s="60"/>
      <c r="N56" s="76"/>
      <c r="O56" s="60" t="str">
        <f>+IF(ABS(O36-O43-O50-O30)&gt;0.001,"check","")</f>
        <v/>
      </c>
      <c r="P56" s="60" t="str">
        <f t="shared" ref="P56:AC56" si="27">+IF(ABS(P36-P43-P50-P30)&gt;0.001,"check","")</f>
        <v/>
      </c>
      <c r="Q56" s="60" t="str">
        <f t="shared" si="27"/>
        <v/>
      </c>
      <c r="R56" s="60" t="str">
        <f t="shared" si="27"/>
        <v/>
      </c>
      <c r="S56" s="60" t="str">
        <f t="shared" si="27"/>
        <v/>
      </c>
      <c r="T56" s="60" t="str">
        <f t="shared" si="27"/>
        <v/>
      </c>
      <c r="U56" s="60" t="str">
        <f t="shared" si="27"/>
        <v/>
      </c>
      <c r="V56" s="60" t="str">
        <f t="shared" si="27"/>
        <v/>
      </c>
      <c r="W56" s="60" t="str">
        <f t="shared" si="27"/>
        <v/>
      </c>
      <c r="X56" s="60" t="str">
        <f t="shared" si="27"/>
        <v/>
      </c>
      <c r="Y56" s="60" t="str">
        <f t="shared" si="27"/>
        <v/>
      </c>
      <c r="Z56" s="60" t="str">
        <f t="shared" si="27"/>
        <v/>
      </c>
      <c r="AA56" s="60" t="str">
        <f t="shared" si="27"/>
        <v/>
      </c>
      <c r="AB56" s="60" t="str">
        <f t="shared" si="27"/>
        <v/>
      </c>
      <c r="AC56" s="60" t="str">
        <f t="shared" si="27"/>
        <v/>
      </c>
    </row>
    <row r="57" spans="2:32">
      <c r="L57" s="138" t="s">
        <v>136</v>
      </c>
      <c r="M57" s="74" t="s">
        <v>135</v>
      </c>
      <c r="AD57" s="74" t="str">
        <f>+M57</f>
        <v>2025-30</v>
      </c>
    </row>
    <row r="58" spans="2:32">
      <c r="B58" t="s">
        <v>54</v>
      </c>
      <c r="L58" s="137" t="s">
        <v>134</v>
      </c>
      <c r="M58" s="134">
        <f>+'NKIA financing'!I12</f>
        <v>1064.4723798398729</v>
      </c>
      <c r="N58" s="62">
        <f>+N11</f>
        <v>36.150092620999999</v>
      </c>
      <c r="O58" s="62">
        <f>+O11</f>
        <v>151.71123010600002</v>
      </c>
      <c r="P58" s="62">
        <f t="shared" ref="P58:AC58" si="28">+P11</f>
        <v>379.81921542791872</v>
      </c>
      <c r="Q58" s="62">
        <f t="shared" si="28"/>
        <v>531.53044553391874</v>
      </c>
      <c r="R58" s="62">
        <f t="shared" si="28"/>
        <v>220.01813446993873</v>
      </c>
      <c r="S58" s="62">
        <f t="shared" si="28"/>
        <v>254.20061293297613</v>
      </c>
      <c r="T58" s="62">
        <f t="shared" si="28"/>
        <v>474.21874740291486</v>
      </c>
      <c r="U58" s="62">
        <f t="shared" si="28"/>
        <v>242.28113296793407</v>
      </c>
      <c r="V58" s="62">
        <f t="shared" si="28"/>
        <v>137.70410209432259</v>
      </c>
      <c r="W58" s="62">
        <f t="shared" si="28"/>
        <v>379.98523506225666</v>
      </c>
      <c r="X58" s="62">
        <f t="shared" si="28"/>
        <v>19.960489326811107</v>
      </c>
      <c r="Y58" s="62">
        <f t="shared" si="28"/>
        <v>20.008333067171215</v>
      </c>
      <c r="Z58" s="62">
        <f t="shared" si="28"/>
        <v>39.968822393982322</v>
      </c>
      <c r="AA58" s="62">
        <f t="shared" si="28"/>
        <v>17.990922015319999</v>
      </c>
      <c r="AB58" s="62">
        <f t="shared" si="28"/>
        <v>18.897529598625912</v>
      </c>
      <c r="AC58" s="62">
        <f t="shared" si="28"/>
        <v>36.888451613945911</v>
      </c>
      <c r="AD58" s="73">
        <f>+Q58+T58+W58+Z58+AC58</f>
        <v>1462.5917020070185</v>
      </c>
      <c r="AE58" s="135" t="str">
        <f>+IF((-M58+AD58)&gt;1,"Budget larger","")</f>
        <v>Budget larger</v>
      </c>
    </row>
    <row r="59" spans="2:32">
      <c r="B59" t="s">
        <v>55</v>
      </c>
      <c r="L59" s="59"/>
      <c r="M59" s="136">
        <f>+'NKIA financing'!I11</f>
        <v>1423.8195120281225</v>
      </c>
      <c r="N59" s="61"/>
      <c r="O59" s="62"/>
      <c r="P59" s="62"/>
      <c r="Q59" s="62"/>
      <c r="R59" s="62"/>
      <c r="S59" s="62"/>
      <c r="T59" s="62"/>
      <c r="U59" s="62"/>
      <c r="V59" s="62"/>
      <c r="W59" s="62"/>
      <c r="X59" s="62"/>
      <c r="Y59" s="62"/>
      <c r="Z59" s="62"/>
      <c r="AA59" s="62"/>
      <c r="AB59" s="62"/>
      <c r="AC59" s="62"/>
    </row>
    <row r="60" spans="2:32" s="54" customFormat="1">
      <c r="B60" s="54" t="s">
        <v>48</v>
      </c>
      <c r="I60" s="55"/>
      <c r="J60" s="55"/>
      <c r="K60" s="55"/>
      <c r="L60" s="55"/>
      <c r="M60" s="55"/>
      <c r="N60" s="56">
        <f t="shared" ref="N60:V60" si="29">+N58/N17</f>
        <v>1.6804617246653031E-3</v>
      </c>
      <c r="O60" s="63">
        <f t="shared" si="29"/>
        <v>1.1927597911482837E-2</v>
      </c>
      <c r="P60" s="63">
        <f t="shared" si="29"/>
        <v>2.986153943589917E-2</v>
      </c>
      <c r="Q60" s="56">
        <f>+Q58/Q17</f>
        <v>2.0894568673691005E-2</v>
      </c>
      <c r="R60" s="63">
        <f t="shared" si="29"/>
        <v>1.4982632219702323E-2</v>
      </c>
      <c r="S60" s="63">
        <f t="shared" si="29"/>
        <v>1.7310365360442864E-2</v>
      </c>
      <c r="T60" s="56">
        <f t="shared" si="29"/>
        <v>1.6146498790072593E-2</v>
      </c>
      <c r="U60" s="63">
        <f t="shared" si="29"/>
        <v>1.4608784068376906E-2</v>
      </c>
      <c r="V60" s="63">
        <f t="shared" si="29"/>
        <v>8.3031207101542416E-3</v>
      </c>
      <c r="W60" s="56">
        <f>+W58/W17</f>
        <v>1.1455952389265573E-2</v>
      </c>
      <c r="X60" s="63">
        <f t="shared" ref="X60:AB60" si="30">+X58/X17</f>
        <v>1.0714729448603598E-3</v>
      </c>
      <c r="Y60" s="63">
        <f t="shared" si="30"/>
        <v>1.0740411821684465E-3</v>
      </c>
      <c r="Z60" s="56">
        <f>+Z58/Z17</f>
        <v>1.0727570635144033E-3</v>
      </c>
      <c r="AA60" s="63">
        <f t="shared" si="30"/>
        <v>8.5949009385970817E-4</v>
      </c>
      <c r="AB60" s="63">
        <f t="shared" si="30"/>
        <v>9.0280195059534328E-4</v>
      </c>
      <c r="AC60" s="56">
        <f>+AC58/AC17</f>
        <v>8.8114602222752578E-4</v>
      </c>
    </row>
    <row r="62" spans="2:32">
      <c r="O62" s="33" t="str">
        <f>+O27</f>
        <v>Jul-Dec</v>
      </c>
      <c r="P62" s="33" t="str">
        <f t="shared" ref="P62:W62" si="31">+P27</f>
        <v>Jan-Jun</v>
      </c>
      <c r="Q62" s="32" t="str">
        <f t="shared" si="31"/>
        <v>2025/2026</v>
      </c>
      <c r="R62" s="33" t="str">
        <f t="shared" si="31"/>
        <v>Jul-Dec</v>
      </c>
      <c r="S62" s="33" t="str">
        <f t="shared" si="31"/>
        <v>Jan-Jun</v>
      </c>
      <c r="T62" s="32" t="str">
        <f t="shared" si="31"/>
        <v>2026/2027</v>
      </c>
      <c r="U62" s="33" t="str">
        <f t="shared" si="31"/>
        <v>Jul-Dec</v>
      </c>
      <c r="V62" s="33" t="str">
        <f t="shared" si="31"/>
        <v>Jan-Jun</v>
      </c>
      <c r="W62" s="32" t="str">
        <f t="shared" si="31"/>
        <v>2027/2028</v>
      </c>
    </row>
    <row r="63" spans="2:32">
      <c r="M63" s="72" t="s">
        <v>59</v>
      </c>
    </row>
    <row r="64" spans="2:32" ht="15" thickBot="1">
      <c r="B64" s="49" t="s">
        <v>58</v>
      </c>
      <c r="M64" s="64">
        <f>+AVERAGE(Q64,T64, W64)</f>
        <v>1.6165673284343055E-2</v>
      </c>
      <c r="O64" s="36">
        <f t="shared" ref="O64:W64" si="32">+O48</f>
        <v>1.1927597911482837E-2</v>
      </c>
      <c r="P64" s="36">
        <f t="shared" si="32"/>
        <v>2.986153943589917E-2</v>
      </c>
      <c r="Q64" s="64">
        <f t="shared" si="32"/>
        <v>2.0894568673691005E-2</v>
      </c>
      <c r="R64" s="36">
        <f t="shared" si="32"/>
        <v>1.4982632219702323E-2</v>
      </c>
      <c r="S64" s="36">
        <f t="shared" si="32"/>
        <v>1.7310365360442864E-2</v>
      </c>
      <c r="T64" s="64">
        <f t="shared" si="32"/>
        <v>1.6146498790072593E-2</v>
      </c>
      <c r="U64" s="36">
        <f t="shared" si="32"/>
        <v>1.4608784068376906E-2</v>
      </c>
      <c r="V64" s="36">
        <f t="shared" si="32"/>
        <v>8.3031207101542416E-3</v>
      </c>
      <c r="W64" s="64">
        <f t="shared" si="32"/>
        <v>1.1455952389265573E-2</v>
      </c>
      <c r="X64" s="36"/>
      <c r="Y64" s="36"/>
      <c r="Z64" s="36"/>
      <c r="AB64" s="36"/>
      <c r="AC64" s="36"/>
    </row>
    <row r="65" spans="1:29" ht="15" thickTop="1">
      <c r="B65" s="54" t="s">
        <v>49</v>
      </c>
      <c r="M65" s="34" t="s">
        <v>50</v>
      </c>
      <c r="O65" s="65">
        <f>+$M$64/$M$66*$M$69*O68</f>
        <v>7.0051250898819903E-2</v>
      </c>
      <c r="P65" s="66">
        <f>+$M$64/$M$66*$M$69*P68</f>
        <v>0.12393682851329674</v>
      </c>
      <c r="Q65" s="41"/>
      <c r="R65" s="66">
        <f>+$M$64/$M$66*$M$69*R68</f>
        <v>0.14010250179763981</v>
      </c>
      <c r="S65" s="66">
        <f>+$M$64/$M$66*$M$69*S68</f>
        <v>9.1605481944610642E-2</v>
      </c>
      <c r="T65" s="80"/>
      <c r="U65" s="66">
        <f>+$W$64/$M$66*$M$69*U68</f>
        <v>7.6373015928437163E-2</v>
      </c>
      <c r="V65" s="66">
        <f>+$W$64/$M$66*$M$69*V68</f>
        <v>7.6373015928437163E-2</v>
      </c>
      <c r="W65" s="44"/>
    </row>
    <row r="66" spans="1:29" ht="15" thickBot="1">
      <c r="B66" s="54" t="s">
        <v>51</v>
      </c>
      <c r="M66" s="69">
        <v>0.15</v>
      </c>
      <c r="O66" s="67">
        <f>+$M$64/$M$66*$M$69*O69</f>
        <v>9.1605481944610642E-2</v>
      </c>
      <c r="P66" s="68">
        <f>+$M$64/$M$66*$M$69*P69</f>
        <v>0.14010250179763981</v>
      </c>
      <c r="Q66" s="47">
        <f>AVERAGE(O65:P67)</f>
        <v>0.10642401578859179</v>
      </c>
      <c r="R66" s="68">
        <f>+$M$64/$M$66*$M$69*R69</f>
        <v>0.12393682851329674</v>
      </c>
      <c r="S66" s="68">
        <f>+$M$64/$M$66*$M$69*S69</f>
        <v>7.0051250898819903E-2</v>
      </c>
      <c r="T66" s="47">
        <f>AVERAGE(R65:S67)</f>
        <v>0.10642401578859177</v>
      </c>
      <c r="U66" s="68">
        <f t="shared" ref="U66" si="33">+$W$64/$M$66*$M$69*U69</f>
        <v>7.6373015928437163E-2</v>
      </c>
      <c r="V66" s="68">
        <f>+$W$64/$M$66*$M$69*V69</f>
        <v>7.6373015928437163E-2</v>
      </c>
      <c r="W66" s="47">
        <f>AVERAGE(U65:V67)</f>
        <v>7.6373015928437163E-2</v>
      </c>
    </row>
    <row r="67" spans="1:29" ht="15" thickTop="1">
      <c r="B67" s="54"/>
      <c r="M67" s="69"/>
      <c r="Q67" s="81"/>
    </row>
    <row r="68" spans="1:29">
      <c r="M68" s="34" t="s">
        <v>53</v>
      </c>
      <c r="N68" s="34" t="s">
        <v>52</v>
      </c>
      <c r="O68" s="70">
        <v>0.65</v>
      </c>
      <c r="P68" s="70">
        <v>1.1499999999999999</v>
      </c>
      <c r="R68" s="70">
        <f>+P69</f>
        <v>1.3</v>
      </c>
      <c r="S68" s="70">
        <f>+O69</f>
        <v>0.85</v>
      </c>
      <c r="U68" s="70">
        <v>1</v>
      </c>
      <c r="V68" s="70">
        <v>1</v>
      </c>
    </row>
    <row r="69" spans="1:29">
      <c r="M69" s="70">
        <v>1</v>
      </c>
      <c r="O69" s="70">
        <v>0.85</v>
      </c>
      <c r="P69" s="70">
        <v>1.3</v>
      </c>
      <c r="R69" s="70">
        <f>+P68</f>
        <v>1.1499999999999999</v>
      </c>
      <c r="S69" s="70">
        <f>+O68</f>
        <v>0.65</v>
      </c>
      <c r="U69" s="70">
        <v>1</v>
      </c>
      <c r="V69" s="70">
        <v>1</v>
      </c>
    </row>
    <row r="70" spans="1:29">
      <c r="B70" s="121" t="s">
        <v>110</v>
      </c>
      <c r="Q70" s="70"/>
    </row>
    <row r="71" spans="1:29">
      <c r="B71" s="71"/>
      <c r="Q71" s="70"/>
    </row>
    <row r="72" spans="1:29">
      <c r="B72" s="71"/>
      <c r="Q72" s="70"/>
    </row>
    <row r="73" spans="1:29" ht="22" customHeight="1">
      <c r="B73" s="111" t="s">
        <v>112</v>
      </c>
    </row>
    <row r="74" spans="1:29" ht="14.5">
      <c r="A74" s="103"/>
      <c r="B74" s="106" t="s">
        <v>114</v>
      </c>
      <c r="C74" s="120" t="s">
        <v>74</v>
      </c>
      <c r="D74" s="120" t="s">
        <v>75</v>
      </c>
      <c r="E74" s="120" t="s">
        <v>76</v>
      </c>
      <c r="F74" s="120" t="s">
        <v>77</v>
      </c>
      <c r="G74" s="120" t="s">
        <v>78</v>
      </c>
      <c r="H74" s="120" t="s">
        <v>79</v>
      </c>
      <c r="I74" s="120" t="s">
        <v>80</v>
      </c>
      <c r="J74" s="120" t="s">
        <v>81</v>
      </c>
      <c r="K74" s="120" t="s">
        <v>82</v>
      </c>
      <c r="L74" s="120" t="s">
        <v>83</v>
      </c>
      <c r="M74" s="120" t="s">
        <v>84</v>
      </c>
      <c r="N74" s="120" t="s">
        <v>85</v>
      </c>
      <c r="O74" s="120" t="s">
        <v>86</v>
      </c>
      <c r="P74" s="120" t="s">
        <v>87</v>
      </c>
      <c r="Q74" s="120" t="s">
        <v>88</v>
      </c>
      <c r="R74" s="120" t="s">
        <v>89</v>
      </c>
      <c r="S74" s="120" t="s">
        <v>90</v>
      </c>
      <c r="T74" s="120" t="s">
        <v>91</v>
      </c>
      <c r="U74" s="120" t="s">
        <v>92</v>
      </c>
      <c r="V74" s="120" t="s">
        <v>93</v>
      </c>
      <c r="W74" s="120" t="s">
        <v>94</v>
      </c>
      <c r="X74" s="120" t="s">
        <v>95</v>
      </c>
      <c r="Y74" s="120" t="s">
        <v>96</v>
      </c>
      <c r="Z74" s="120" t="s">
        <v>97</v>
      </c>
      <c r="AA74"/>
      <c r="AB74"/>
    </row>
    <row r="75" spans="1:29" ht="14.5">
      <c r="A75" s="103"/>
      <c r="B75" s="104" t="s">
        <v>98</v>
      </c>
      <c r="C75" s="99"/>
      <c r="D75" s="99"/>
      <c r="E75" s="99"/>
      <c r="F75" s="99"/>
      <c r="G75" s="100"/>
      <c r="H75" s="100"/>
      <c r="I75" s="100"/>
      <c r="J75" s="100"/>
      <c r="K75" s="100"/>
      <c r="L75" s="100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</row>
    <row r="76" spans="1:29" s="141" customFormat="1">
      <c r="A76" s="140" t="s">
        <v>99</v>
      </c>
      <c r="B76" s="140" t="s">
        <v>100</v>
      </c>
      <c r="C76" s="147">
        <f>C83</f>
        <v>-8.5283014900924742E-2</v>
      </c>
      <c r="D76" s="147">
        <f t="shared" ref="D76:F76" si="34">D83</f>
        <v>-8.0283014900924737E-2</v>
      </c>
      <c r="E76" s="147">
        <f t="shared" si="34"/>
        <v>-8.8714319740623854E-2</v>
      </c>
      <c r="F76" s="145">
        <f t="shared" si="34"/>
        <v>-8.6214319740623852E-2</v>
      </c>
      <c r="G76" s="145">
        <f>+O31</f>
        <v>-7.6277457795337969E-2</v>
      </c>
      <c r="H76" s="145">
        <f>+O32</f>
        <v>-7.6277457795337969E-2</v>
      </c>
      <c r="I76" s="145">
        <f>+P31</f>
        <v>-9.6640500522892761E-2</v>
      </c>
      <c r="J76" s="145">
        <f>+P32</f>
        <v>-8.7340500522892758E-2</v>
      </c>
      <c r="K76" s="145">
        <f>+R31</f>
        <v>-6.4339094794746796E-2</v>
      </c>
      <c r="L76" s="145">
        <f>+R32</f>
        <v>-6.4339094794746796E-2</v>
      </c>
      <c r="M76" s="145">
        <f>+S31</f>
        <v>-7.105824249974832E-2</v>
      </c>
      <c r="N76" s="145">
        <f>+S32</f>
        <v>-6.7058242499748316E-2</v>
      </c>
      <c r="O76" s="145">
        <f>+U31</f>
        <v>-6.2343443876518197E-2</v>
      </c>
      <c r="P76" s="145">
        <f>+U32</f>
        <v>-6.1343443876518196E-2</v>
      </c>
      <c r="Q76" s="145">
        <f>+V31</f>
        <v>-6.0011635222512322E-2</v>
      </c>
      <c r="R76" s="145">
        <f>+V32</f>
        <v>-5.8311635222512315E-2</v>
      </c>
      <c r="S76" s="145">
        <f>+X31</f>
        <v>-4.4797238926274401E-2</v>
      </c>
      <c r="T76" s="145">
        <f>+X32</f>
        <v>-4.2797238926274399E-2</v>
      </c>
      <c r="U76" s="145">
        <f>+Y31</f>
        <v>-5.1153398275703831E-2</v>
      </c>
      <c r="V76" s="145">
        <f>+Y32</f>
        <v>-4.905339827570384E-2</v>
      </c>
      <c r="W76" s="145">
        <f>+AA31</f>
        <v>-4.4072687633866001E-2</v>
      </c>
      <c r="X76" s="145">
        <f>+AA32</f>
        <v>-4.2572687633865999E-2</v>
      </c>
      <c r="Y76" s="145">
        <f>+AB31</f>
        <v>-4.9229636157852676E-2</v>
      </c>
      <c r="Z76" s="145">
        <f>+AB32</f>
        <v>-4.7729636157852674E-2</v>
      </c>
      <c r="AC76" s="142"/>
    </row>
    <row r="77" spans="1:29" s="141" customFormat="1" ht="21.5" customHeight="1">
      <c r="A77" s="140" t="s">
        <v>101</v>
      </c>
      <c r="B77" s="140" t="s">
        <v>102</v>
      </c>
      <c r="C77" s="147">
        <f t="shared" ref="C77:F80" si="35">C84</f>
        <v>0.17</v>
      </c>
      <c r="D77" s="147">
        <f t="shared" si="35"/>
        <v>0.17500000000000002</v>
      </c>
      <c r="E77" s="147">
        <f t="shared" si="35"/>
        <v>0.17750000000000002</v>
      </c>
      <c r="F77" s="145">
        <f t="shared" si="35"/>
        <v>0.18000000000000002</v>
      </c>
      <c r="G77" s="145">
        <f>+O37</f>
        <v>0.16307315624292407</v>
      </c>
      <c r="H77" s="145">
        <f>+O38</f>
        <v>0.16307315624292407</v>
      </c>
      <c r="I77" s="145">
        <f>+P37</f>
        <v>0.17237315624292407</v>
      </c>
      <c r="J77" s="145">
        <f>+P38</f>
        <v>0.18167315624292407</v>
      </c>
      <c r="K77" s="145">
        <f>+R37</f>
        <v>0.17267315624292406</v>
      </c>
      <c r="L77" s="145">
        <f>+R38</f>
        <v>0.17267315624292406</v>
      </c>
      <c r="M77" s="145">
        <f>+S37</f>
        <v>0.17667315624292407</v>
      </c>
      <c r="N77" s="145">
        <f>+S38</f>
        <v>0.18067315624292407</v>
      </c>
      <c r="O77" s="145">
        <f>+U37</f>
        <v>0.17667315624292407</v>
      </c>
      <c r="P77" s="145">
        <f>+U38</f>
        <v>0.17767315624292407</v>
      </c>
      <c r="Q77" s="145">
        <f>+V37</f>
        <v>0.17937315624292408</v>
      </c>
      <c r="R77" s="145">
        <f>+V38</f>
        <v>0.18107315624292408</v>
      </c>
      <c r="S77" s="145">
        <f>+X37</f>
        <v>0.17857315624292408</v>
      </c>
      <c r="T77" s="145">
        <f>+X38</f>
        <v>0.18057315624292408</v>
      </c>
      <c r="U77" s="145">
        <f>+Y37</f>
        <v>0.18267315624292407</v>
      </c>
      <c r="V77" s="145">
        <f>+Y38</f>
        <v>0.18477315624292406</v>
      </c>
      <c r="W77" s="145">
        <f>+AA37</f>
        <v>0.18127315624292406</v>
      </c>
      <c r="X77" s="145">
        <f>+AA38</f>
        <v>0.18277315624292406</v>
      </c>
      <c r="Y77" s="145">
        <f>+AB37</f>
        <v>0.18427315624292406</v>
      </c>
      <c r="Z77" s="145">
        <f>+AB38</f>
        <v>0.18577315624292406</v>
      </c>
      <c r="AC77" s="142"/>
    </row>
    <row r="78" spans="1:29" s="141" customFormat="1" ht="20.5" customHeight="1">
      <c r="A78" s="140" t="s">
        <v>103</v>
      </c>
      <c r="B78" s="140" t="s">
        <v>104</v>
      </c>
      <c r="C78" s="147">
        <f t="shared" si="35"/>
        <v>0.19313555433892682</v>
      </c>
      <c r="D78" s="147">
        <f t="shared" si="35"/>
        <v>0.19313555433892682</v>
      </c>
      <c r="E78" s="147">
        <f t="shared" si="35"/>
        <v>0.19775029848561318</v>
      </c>
      <c r="F78" s="145">
        <f t="shared" si="35"/>
        <v>0.19775029848561318</v>
      </c>
      <c r="G78" s="145">
        <f>+O44</f>
        <v>0.18828649942779166</v>
      </c>
      <c r="H78" s="145">
        <f>+O45</f>
        <v>0.18828649942779166</v>
      </c>
      <c r="I78" s="145">
        <f>+P44</f>
        <v>0.19110022215069522</v>
      </c>
      <c r="J78" s="145">
        <f>+P45</f>
        <v>0.19110022215069522</v>
      </c>
      <c r="K78" s="145">
        <f>+R44</f>
        <v>0.17928740330000101</v>
      </c>
      <c r="L78" s="145">
        <f>+R45</f>
        <v>0.17928740330000101</v>
      </c>
      <c r="M78" s="145">
        <f>+S44</f>
        <v>0.19040876655958883</v>
      </c>
      <c r="N78" s="145">
        <f>+S45</f>
        <v>0.19040876655958883</v>
      </c>
      <c r="O78" s="145">
        <f>+U44</f>
        <v>0.18484990460117187</v>
      </c>
      <c r="P78" s="145">
        <f>+U45</f>
        <v>0.18484990460117187</v>
      </c>
      <c r="Q78" s="145">
        <f>+V44</f>
        <v>0.19503034888548992</v>
      </c>
      <c r="R78" s="145">
        <f>+V45</f>
        <v>0.19503034888548992</v>
      </c>
      <c r="S78" s="145">
        <f>+X44</f>
        <v>0.18936618216901066</v>
      </c>
      <c r="T78" s="145">
        <f>+X45</f>
        <v>0.18936618216901066</v>
      </c>
      <c r="U78" s="145">
        <f>+Y44</f>
        <v>0.19957404570351286</v>
      </c>
      <c r="V78" s="145">
        <f>+Y45</f>
        <v>0.19957404570351286</v>
      </c>
      <c r="W78" s="145">
        <f>+AA44</f>
        <v>0.19258474431071401</v>
      </c>
      <c r="X78" s="145">
        <f>+AA45</f>
        <v>0.19258474431071401</v>
      </c>
      <c r="Y78" s="145">
        <f>+AB44</f>
        <v>0.20262159095390192</v>
      </c>
      <c r="Z78" s="145">
        <f>+AB45</f>
        <v>0.20262159095390192</v>
      </c>
      <c r="AC78" s="142"/>
    </row>
    <row r="79" spans="1:29" s="141" customFormat="1" ht="19" customHeight="1">
      <c r="A79" s="140" t="s">
        <v>105</v>
      </c>
      <c r="B79" s="140" t="s">
        <v>106</v>
      </c>
      <c r="C79" s="147">
        <f t="shared" si="35"/>
        <v>6.2147460561997943E-2</v>
      </c>
      <c r="D79" s="147">
        <f t="shared" si="35"/>
        <v>6.2147460561997943E-2</v>
      </c>
      <c r="E79" s="147">
        <f t="shared" si="35"/>
        <v>6.8464021255010693E-2</v>
      </c>
      <c r="F79" s="145">
        <f t="shared" si="35"/>
        <v>6.8464021255010693E-2</v>
      </c>
      <c r="G79" s="145">
        <f>+O51</f>
        <v>5.1064114610470376E-2</v>
      </c>
      <c r="H79" s="145">
        <f>+O52</f>
        <v>5.1064114610470376E-2</v>
      </c>
      <c r="I79" s="145">
        <f>+P51</f>
        <v>7.791343461512161E-2</v>
      </c>
      <c r="J79" s="145">
        <f>+P52</f>
        <v>7.791343461512161E-2</v>
      </c>
      <c r="K79" s="145">
        <f>+R51</f>
        <v>5.7724847737669852E-2</v>
      </c>
      <c r="L79" s="145">
        <f>+R52</f>
        <v>5.7724847737669852E-2</v>
      </c>
      <c r="M79" s="145">
        <f>+S51</f>
        <v>5.7322632183083554E-2</v>
      </c>
      <c r="N79" s="145">
        <f>+S52</f>
        <v>5.7322632183083554E-2</v>
      </c>
      <c r="O79" s="145">
        <f>+U51</f>
        <v>5.4166695518270393E-2</v>
      </c>
      <c r="P79" s="145">
        <f>+U52</f>
        <v>5.4166695518270393E-2</v>
      </c>
      <c r="Q79" s="145">
        <f>+V51</f>
        <v>4.4354442579946474E-2</v>
      </c>
      <c r="R79" s="145">
        <f>+V52</f>
        <v>4.4354442579946474E-2</v>
      </c>
      <c r="S79" s="145">
        <f>+X51</f>
        <v>3.400421300018782E-2</v>
      </c>
      <c r="T79" s="145">
        <f>+X52</f>
        <v>3.400421300018782E-2</v>
      </c>
      <c r="U79" s="145">
        <f>+Y51</f>
        <v>3.4252508815115039E-2</v>
      </c>
      <c r="V79" s="145">
        <f>+Y52</f>
        <v>3.4252508815115039E-2</v>
      </c>
      <c r="W79" s="145">
        <f>+AA51</f>
        <v>3.2761099566076049E-2</v>
      </c>
      <c r="X79" s="145">
        <f>+AA52</f>
        <v>3.2761099566076049E-2</v>
      </c>
      <c r="Y79" s="145">
        <f>+AB51</f>
        <v>3.0881201446874819E-2</v>
      </c>
      <c r="Z79" s="145">
        <f>+AB52</f>
        <v>3.0881201446874819E-2</v>
      </c>
      <c r="AC79" s="142"/>
    </row>
    <row r="80" spans="1:29" s="141" customFormat="1" ht="16.75" customHeight="1">
      <c r="A80" s="140" t="s">
        <v>113</v>
      </c>
      <c r="B80" s="143" t="s">
        <v>138</v>
      </c>
      <c r="C80" s="147">
        <f t="shared" si="35"/>
        <v>4.2294792912625521E-2</v>
      </c>
      <c r="D80" s="147">
        <f t="shared" si="35"/>
        <v>5.5308575347279523E-2</v>
      </c>
      <c r="E80" s="147">
        <f t="shared" si="35"/>
        <v>7.4829248999260523E-2</v>
      </c>
      <c r="F80" s="145">
        <f t="shared" si="35"/>
        <v>8.4589585825251043E-2</v>
      </c>
      <c r="G80" s="145">
        <f>+O65</f>
        <v>7.0051250898819903E-2</v>
      </c>
      <c r="H80" s="145">
        <f>+O66</f>
        <v>9.1605481944610642E-2</v>
      </c>
      <c r="I80" s="145">
        <f>+P65</f>
        <v>0.12393682851329674</v>
      </c>
      <c r="J80" s="145">
        <f>+P66</f>
        <v>0.14010250179763981</v>
      </c>
      <c r="K80" s="145">
        <f>+R65</f>
        <v>0.14010250179763981</v>
      </c>
      <c r="L80" s="145">
        <f>+R66</f>
        <v>0.12393682851329674</v>
      </c>
      <c r="M80" s="145">
        <f>+S65</f>
        <v>9.1605481944610642E-2</v>
      </c>
      <c r="N80" s="145">
        <f>+S66</f>
        <v>7.0051250898819903E-2</v>
      </c>
      <c r="O80" s="145">
        <f>+U65</f>
        <v>7.6373015928437163E-2</v>
      </c>
      <c r="P80" s="145">
        <f>+U66</f>
        <v>7.6373015928437163E-2</v>
      </c>
      <c r="Q80" s="145">
        <f>+V65</f>
        <v>7.6373015928437163E-2</v>
      </c>
      <c r="R80" s="145">
        <f>+V66</f>
        <v>7.6373015928437163E-2</v>
      </c>
      <c r="S80" s="145"/>
      <c r="T80" s="145"/>
      <c r="U80" s="145"/>
      <c r="V80" s="145"/>
      <c r="W80" s="145"/>
      <c r="X80" s="145"/>
      <c r="Y80" s="145"/>
      <c r="Z80" s="145"/>
      <c r="AC80" s="142"/>
    </row>
    <row r="81" spans="1:36">
      <c r="A81" s="103"/>
      <c r="B81" s="105"/>
      <c r="C81" s="150"/>
      <c r="D81" s="150"/>
      <c r="E81" s="150"/>
      <c r="F81" s="150"/>
      <c r="G81" s="101"/>
      <c r="H81" s="101"/>
      <c r="I81" s="101"/>
      <c r="J81" s="101"/>
      <c r="K81" s="101"/>
      <c r="L81" s="101"/>
      <c r="M81" s="101"/>
      <c r="N81" s="101"/>
      <c r="O81" s="102"/>
      <c r="P81" s="102"/>
      <c r="Q81" s="102"/>
      <c r="R81" s="102"/>
      <c r="S81" s="102"/>
      <c r="T81" s="102"/>
      <c r="U81" s="102"/>
      <c r="V81" s="102"/>
      <c r="W81" s="102"/>
      <c r="X81" s="102"/>
      <c r="Y81" s="102"/>
      <c r="Z81" s="102"/>
      <c r="AA81"/>
      <c r="AB81"/>
    </row>
    <row r="82" spans="1:36" ht="14.5">
      <c r="A82" s="113"/>
      <c r="B82" s="114" t="s">
        <v>107</v>
      </c>
      <c r="C82" s="117"/>
      <c r="D82" s="117"/>
      <c r="E82" s="117"/>
      <c r="F82" s="117"/>
      <c r="G82" s="118"/>
      <c r="H82" s="118"/>
      <c r="I82" s="118"/>
      <c r="J82" s="118"/>
      <c r="K82" s="118"/>
      <c r="L82" s="118"/>
      <c r="M82" s="117"/>
      <c r="N82" s="117"/>
      <c r="O82" s="117"/>
      <c r="P82" s="117"/>
      <c r="Q82" s="117"/>
      <c r="R82" s="117"/>
      <c r="S82" s="117"/>
      <c r="T82" s="117"/>
      <c r="U82" s="117"/>
      <c r="V82" s="117"/>
      <c r="W82" s="151"/>
      <c r="X82" s="151"/>
      <c r="Y82" s="151"/>
      <c r="Z82" s="151"/>
      <c r="AA82" s="107"/>
      <c r="AB82" s="107"/>
      <c r="AC82" s="108"/>
      <c r="AD82" s="107"/>
      <c r="AE82" s="107"/>
      <c r="AF82" s="107"/>
      <c r="AG82" s="107"/>
      <c r="AH82" s="107"/>
      <c r="AI82" s="107"/>
      <c r="AJ82" s="107"/>
    </row>
    <row r="83" spans="1:36">
      <c r="A83" s="113" t="s">
        <v>99</v>
      </c>
      <c r="B83" s="113" t="s">
        <v>100</v>
      </c>
      <c r="C83" s="145">
        <v>-8.5283014900924742E-2</v>
      </c>
      <c r="D83" s="145">
        <v>-8.0283014900924737E-2</v>
      </c>
      <c r="E83" s="145">
        <v>-8.8714319740623854E-2</v>
      </c>
      <c r="F83" s="145">
        <v>-8.6214319740623852E-2</v>
      </c>
      <c r="G83" s="145">
        <v>-7.4877562163846931E-2</v>
      </c>
      <c r="H83" s="145">
        <v>-7.387756216384693E-2</v>
      </c>
      <c r="I83" s="145">
        <v>-6.9307581694044038E-2</v>
      </c>
      <c r="J83" s="145">
        <v>-6.5307581694044034E-2</v>
      </c>
      <c r="K83" s="145">
        <v>-7.1283925493095313E-2</v>
      </c>
      <c r="L83" s="145">
        <v>-7.0283925493095312E-2</v>
      </c>
      <c r="M83" s="145">
        <v>-6.3102614357024342E-2</v>
      </c>
      <c r="N83" s="145">
        <v>-6.2602614357024342E-2</v>
      </c>
      <c r="O83" s="145">
        <v>-5.2071422652446762E-2</v>
      </c>
      <c r="P83" s="145">
        <v>-5.1371422652446756E-2</v>
      </c>
      <c r="Q83" s="145">
        <v>-5.1819990339795861E-2</v>
      </c>
      <c r="R83" s="145">
        <v>-5.031999033979586E-2</v>
      </c>
      <c r="S83" s="145">
        <v>-5.0438746488025224E-2</v>
      </c>
      <c r="T83" s="145">
        <v>-5.0438746488025224E-2</v>
      </c>
      <c r="U83" s="145">
        <v>-5.0430582505264485E-2</v>
      </c>
      <c r="V83" s="145">
        <v>-4.9430582505264484E-2</v>
      </c>
      <c r="W83" s="151"/>
      <c r="X83" s="151"/>
      <c r="Y83" s="151"/>
      <c r="Z83" s="151"/>
      <c r="AA83" s="107"/>
      <c r="AB83" s="107"/>
      <c r="AC83" s="108"/>
      <c r="AD83" s="107"/>
      <c r="AE83" s="107"/>
      <c r="AF83" s="107"/>
      <c r="AG83" s="107"/>
      <c r="AH83" s="107"/>
      <c r="AI83" s="107"/>
      <c r="AJ83" s="107"/>
    </row>
    <row r="84" spans="1:36">
      <c r="A84" s="113" t="s">
        <v>101</v>
      </c>
      <c r="B84" s="113" t="s">
        <v>102</v>
      </c>
      <c r="C84" s="145">
        <v>0.17</v>
      </c>
      <c r="D84" s="145">
        <v>0.17500000000000002</v>
      </c>
      <c r="E84" s="145">
        <v>0.17750000000000002</v>
      </c>
      <c r="F84" s="145">
        <v>0.18000000000000002</v>
      </c>
      <c r="G84" s="145">
        <v>0.18000000000000002</v>
      </c>
      <c r="H84" s="145">
        <v>0.18100000000000002</v>
      </c>
      <c r="I84" s="145">
        <v>0.18500000000000003</v>
      </c>
      <c r="J84" s="145">
        <v>0.18900000000000003</v>
      </c>
      <c r="K84" s="145">
        <v>0.18600000000000003</v>
      </c>
      <c r="L84" s="145">
        <v>0.18700000000000003</v>
      </c>
      <c r="M84" s="145">
        <v>0.18750000000000003</v>
      </c>
      <c r="N84" s="145">
        <v>0.18800000000000003</v>
      </c>
      <c r="O84" s="145">
        <v>0.18870000000000003</v>
      </c>
      <c r="P84" s="145">
        <v>0.18940000000000004</v>
      </c>
      <c r="Q84" s="145">
        <v>0.19090000000000004</v>
      </c>
      <c r="R84" s="145">
        <v>0.19240000000000004</v>
      </c>
      <c r="S84" s="145">
        <v>0.19240000000000004</v>
      </c>
      <c r="T84" s="145">
        <v>0.19240000000000004</v>
      </c>
      <c r="U84" s="145">
        <v>0.19340000000000004</v>
      </c>
      <c r="V84" s="145">
        <v>0.19440000000000004</v>
      </c>
      <c r="W84" s="151"/>
      <c r="X84" s="151"/>
      <c r="Y84" s="151"/>
      <c r="Z84" s="151"/>
      <c r="AA84" s="107"/>
      <c r="AB84" s="107"/>
      <c r="AC84" s="108"/>
      <c r="AD84" s="107"/>
      <c r="AE84" s="107"/>
      <c r="AF84" s="107"/>
      <c r="AG84" s="107"/>
      <c r="AH84" s="107"/>
      <c r="AI84" s="107"/>
      <c r="AJ84" s="107"/>
    </row>
    <row r="85" spans="1:36">
      <c r="A85" s="113" t="s">
        <v>103</v>
      </c>
      <c r="B85" s="113" t="s">
        <v>104</v>
      </c>
      <c r="C85" s="145">
        <v>0.19313555433892682</v>
      </c>
      <c r="D85" s="145">
        <v>0.19313555433892682</v>
      </c>
      <c r="E85" s="145">
        <v>0.19775029848561318</v>
      </c>
      <c r="F85" s="145">
        <v>0.19775029848561318</v>
      </c>
      <c r="G85" s="145">
        <v>0.19738571671796856</v>
      </c>
      <c r="H85" s="145">
        <v>0.19738571671796856</v>
      </c>
      <c r="I85" s="145">
        <v>0.19678547687735395</v>
      </c>
      <c r="J85" s="145">
        <v>0.19678547687735395</v>
      </c>
      <c r="K85" s="145">
        <v>0.20412512617462275</v>
      </c>
      <c r="L85" s="145">
        <v>0.20412512617462275</v>
      </c>
      <c r="M85" s="145">
        <v>0.20588494332962287</v>
      </c>
      <c r="N85" s="145">
        <v>0.20588494332962287</v>
      </c>
      <c r="O85" s="145">
        <v>0.20520260295952247</v>
      </c>
      <c r="P85" s="145">
        <v>0.20721900262116216</v>
      </c>
      <c r="Q85" s="145">
        <v>0.20520260295952247</v>
      </c>
      <c r="R85" s="145">
        <v>0.20721900262116216</v>
      </c>
      <c r="S85" s="145">
        <v>0.20969142014588582</v>
      </c>
      <c r="T85" s="145">
        <v>0.20969142014588582</v>
      </c>
      <c r="U85" s="145">
        <v>0.21282906347200575</v>
      </c>
      <c r="V85" s="145">
        <v>0.21282906347200575</v>
      </c>
      <c r="W85" s="151"/>
      <c r="X85" s="151"/>
      <c r="Y85" s="151"/>
      <c r="Z85" s="151"/>
      <c r="AA85" s="107"/>
      <c r="AB85" s="107"/>
      <c r="AC85" s="108"/>
      <c r="AD85" s="107"/>
      <c r="AE85" s="107"/>
      <c r="AF85" s="107"/>
      <c r="AG85" s="107"/>
      <c r="AH85" s="107"/>
      <c r="AI85" s="107"/>
      <c r="AJ85" s="107"/>
    </row>
    <row r="86" spans="1:36">
      <c r="A86" s="113" t="s">
        <v>105</v>
      </c>
      <c r="B86" s="113" t="s">
        <v>106</v>
      </c>
      <c r="C86" s="145">
        <v>6.2147460561997943E-2</v>
      </c>
      <c r="D86" s="145">
        <v>6.2147460561997943E-2</v>
      </c>
      <c r="E86" s="145">
        <v>6.8464021255010693E-2</v>
      </c>
      <c r="F86" s="145">
        <v>6.8464021255010693E-2</v>
      </c>
      <c r="G86" s="145">
        <v>5.749184544587839E-2</v>
      </c>
      <c r="H86" s="145">
        <v>5.749184544587839E-2</v>
      </c>
      <c r="I86" s="145">
        <v>5.7522104816690109E-2</v>
      </c>
      <c r="J86" s="145">
        <v>5.7522104816690109E-2</v>
      </c>
      <c r="K86" s="145">
        <v>5.3158799318472595E-2</v>
      </c>
      <c r="L86" s="145">
        <v>5.3158799318472595E-2</v>
      </c>
      <c r="M86" s="145">
        <v>4.4717671027401498E-2</v>
      </c>
      <c r="N86" s="145">
        <v>4.4717671027401498E-2</v>
      </c>
      <c r="O86" s="145">
        <v>3.5568819692924324E-2</v>
      </c>
      <c r="P86" s="145">
        <v>3.5568819692924324E-2</v>
      </c>
      <c r="Q86" s="145">
        <v>3.5500987718633741E-2</v>
      </c>
      <c r="R86" s="145">
        <v>3.5500987718633741E-2</v>
      </c>
      <c r="S86" s="145">
        <v>3.3147326342139447E-2</v>
      </c>
      <c r="T86" s="145">
        <v>3.3147326342139447E-2</v>
      </c>
      <c r="U86" s="145">
        <v>3.1001519033258772E-2</v>
      </c>
      <c r="V86" s="145">
        <v>3.1001519033258772E-2</v>
      </c>
      <c r="W86" s="151"/>
      <c r="X86" s="151"/>
      <c r="Y86" s="151"/>
      <c r="Z86" s="151"/>
      <c r="AA86" s="107"/>
      <c r="AB86" s="107"/>
      <c r="AC86" s="108"/>
      <c r="AD86" s="107"/>
      <c r="AE86" s="107"/>
      <c r="AF86" s="107"/>
      <c r="AG86" s="107"/>
      <c r="AH86" s="107"/>
      <c r="AI86" s="107"/>
      <c r="AJ86" s="107"/>
    </row>
    <row r="87" spans="1:36">
      <c r="A87" s="113" t="s">
        <v>113</v>
      </c>
      <c r="B87" s="119" t="s">
        <v>138</v>
      </c>
      <c r="C87" s="145">
        <v>4.2294792912625521E-2</v>
      </c>
      <c r="D87" s="145">
        <v>5.5308575347279523E-2</v>
      </c>
      <c r="E87" s="145">
        <v>7.4829248999260523E-2</v>
      </c>
      <c r="F87" s="145">
        <v>8.4589585825251043E-2</v>
      </c>
      <c r="G87" s="145">
        <v>8.4589585825251043E-2</v>
      </c>
      <c r="H87" s="145">
        <v>7.4829248999260523E-2</v>
      </c>
      <c r="I87" s="145">
        <v>5.5308575347279523E-2</v>
      </c>
      <c r="J87" s="145">
        <v>4.2294792912625521E-2</v>
      </c>
      <c r="K87" s="145">
        <v>4.124610152328733E-2</v>
      </c>
      <c r="L87" s="145">
        <v>4.124610152328733E-2</v>
      </c>
      <c r="M87" s="145">
        <v>4.124610152328733E-2</v>
      </c>
      <c r="N87" s="145">
        <v>4.124610152328733E-2</v>
      </c>
      <c r="O87" s="145"/>
      <c r="P87" s="145"/>
      <c r="Q87" s="145"/>
      <c r="R87" s="145"/>
      <c r="S87" s="145"/>
      <c r="T87" s="145"/>
      <c r="U87" s="145"/>
      <c r="V87" s="145"/>
      <c r="W87" s="151"/>
      <c r="X87" s="151"/>
      <c r="Y87" s="151"/>
      <c r="Z87" s="151"/>
      <c r="AA87" s="107"/>
      <c r="AB87" s="107"/>
      <c r="AC87" s="108"/>
      <c r="AD87" s="107"/>
      <c r="AE87" s="107"/>
      <c r="AF87" s="107"/>
      <c r="AG87" s="107"/>
      <c r="AH87" s="107"/>
      <c r="AI87" s="107"/>
      <c r="AJ87" s="107"/>
    </row>
    <row r="88" spans="1:36">
      <c r="B88" s="112" t="s">
        <v>111</v>
      </c>
    </row>
    <row r="90" spans="1:36">
      <c r="J90" s="127" t="s">
        <v>128</v>
      </c>
    </row>
    <row r="91" spans="1:36" ht="18">
      <c r="B91" s="128" t="s">
        <v>130</v>
      </c>
      <c r="C91" s="123" t="s">
        <v>7</v>
      </c>
      <c r="D91" s="123" t="s">
        <v>8</v>
      </c>
      <c r="E91" s="123" t="s">
        <v>9</v>
      </c>
      <c r="F91" s="123" t="s">
        <v>10</v>
      </c>
      <c r="G91" s="123" t="s">
        <v>11</v>
      </c>
      <c r="H91" s="123" t="s">
        <v>12</v>
      </c>
      <c r="I91" s="123" t="s">
        <v>13</v>
      </c>
      <c r="J91" s="123" t="s">
        <v>14</v>
      </c>
      <c r="K91" s="123" t="s">
        <v>15</v>
      </c>
      <c r="L91" s="123" t="s">
        <v>16</v>
      </c>
      <c r="M91" s="123" t="s">
        <v>17</v>
      </c>
      <c r="N91" s="123" t="s">
        <v>18</v>
      </c>
    </row>
    <row r="92" spans="1:36">
      <c r="B92" s="99" t="s">
        <v>98</v>
      </c>
      <c r="C92" s="123">
        <v>2019</v>
      </c>
      <c r="D92" s="123">
        <v>2020</v>
      </c>
      <c r="E92" s="123">
        <v>2021</v>
      </c>
      <c r="F92" s="123">
        <v>2022</v>
      </c>
      <c r="G92" s="123">
        <v>2023</v>
      </c>
      <c r="H92" s="123">
        <v>2024</v>
      </c>
      <c r="I92" s="123">
        <v>2025</v>
      </c>
      <c r="J92" s="123">
        <v>2026</v>
      </c>
      <c r="K92" s="123">
        <v>2027</v>
      </c>
      <c r="L92" s="123">
        <v>2028</v>
      </c>
      <c r="M92" s="123">
        <v>2029</v>
      </c>
      <c r="N92" s="123">
        <v>2030</v>
      </c>
    </row>
    <row r="93" spans="1:36" ht="15.25">
      <c r="A93" t="s">
        <v>115</v>
      </c>
      <c r="B93" s="124" t="s">
        <v>116</v>
      </c>
      <c r="C93" s="144">
        <v>11988</v>
      </c>
      <c r="D93" s="149">
        <v>11989</v>
      </c>
      <c r="E93" s="144">
        <v>11990</v>
      </c>
      <c r="F93" s="144">
        <f>+E17</f>
        <v>11988</v>
      </c>
      <c r="G93" s="144">
        <f>+H17</f>
        <v>15293</v>
      </c>
      <c r="H93" s="144">
        <f>+K17</f>
        <v>18370</v>
      </c>
      <c r="I93" s="149">
        <f>+N17</f>
        <v>21512</v>
      </c>
      <c r="J93" s="149">
        <f>+Q17</f>
        <v>25438.689538644801</v>
      </c>
      <c r="K93" s="149">
        <f>+T17</f>
        <v>29369.757095233574</v>
      </c>
      <c r="L93" s="144">
        <f>+W17</f>
        <v>33169.24007281223</v>
      </c>
      <c r="M93" s="144">
        <f>+Z17</f>
        <v>37258.037027547092</v>
      </c>
      <c r="N93" s="144">
        <f>+AC17</f>
        <v>41864.175384566093</v>
      </c>
    </row>
    <row r="94" spans="1:36" ht="15.25">
      <c r="A94" t="s">
        <v>117</v>
      </c>
      <c r="B94" s="124" t="s">
        <v>102</v>
      </c>
      <c r="C94" s="148">
        <v>0.1900232437362214</v>
      </c>
      <c r="D94" s="145">
        <v>0.1900232437362214</v>
      </c>
      <c r="E94" s="145">
        <v>0.1900232437362214</v>
      </c>
      <c r="F94" s="145">
        <f>+E18</f>
        <v>0.1900232437362214</v>
      </c>
      <c r="G94" s="145">
        <f>+H18</f>
        <v>0.17578368781216153</v>
      </c>
      <c r="H94" s="145">
        <f>+K18</f>
        <v>0.16621322548390918</v>
      </c>
      <c r="I94" s="145">
        <f>+N18</f>
        <v>0.16546014323811883</v>
      </c>
      <c r="J94" s="145">
        <f>+Q18</f>
        <v>0.17068123664546117</v>
      </c>
      <c r="K94" s="145">
        <f>+T18</f>
        <v>0.17567006181604009</v>
      </c>
      <c r="L94" s="145">
        <f>+W18</f>
        <v>0.17945087442944885</v>
      </c>
      <c r="M94" s="145">
        <f>+Z18</f>
        <v>0.18184780144946874</v>
      </c>
      <c r="N94" s="145">
        <f>+AC18</f>
        <v>0.1837132479006178</v>
      </c>
    </row>
    <row r="95" spans="1:36" ht="15.25">
      <c r="A95" t="s">
        <v>118</v>
      </c>
      <c r="B95" s="124" t="s">
        <v>104</v>
      </c>
      <c r="C95" s="148">
        <v>0.28377582490937286</v>
      </c>
      <c r="D95" s="145">
        <v>0.28377582490937286</v>
      </c>
      <c r="E95" s="145">
        <v>0.28377582490937286</v>
      </c>
      <c r="F95" s="145">
        <f>+E19</f>
        <v>0.28377582490937286</v>
      </c>
      <c r="G95" s="145">
        <f>+H19</f>
        <v>0.24368260292576732</v>
      </c>
      <c r="H95" s="145">
        <f>+K19</f>
        <v>0.22612197687473534</v>
      </c>
      <c r="I95" s="145">
        <f>+N19</f>
        <v>0.20053719230054018</v>
      </c>
      <c r="J95" s="145">
        <f>+Q19</f>
        <v>0.18969336078924343</v>
      </c>
      <c r="K95" s="145">
        <f>+T19</f>
        <v>0.18484808492979496</v>
      </c>
      <c r="L95" s="145">
        <f>+W19</f>
        <v>0.18994012674333088</v>
      </c>
      <c r="M95" s="145">
        <f>+Z19</f>
        <v>0.19447011393626176</v>
      </c>
      <c r="N95" s="145">
        <f>+AC19</f>
        <v>0.19760316763230795</v>
      </c>
    </row>
    <row r="96" spans="1:36" ht="15.25">
      <c r="A96" t="s">
        <v>119</v>
      </c>
      <c r="B96" s="124" t="s">
        <v>106</v>
      </c>
      <c r="C96" s="148">
        <v>6.8076853525863817E-2</v>
      </c>
      <c r="D96" s="145">
        <v>6.8076853525863817E-2</v>
      </c>
      <c r="E96" s="145">
        <v>6.8076853525863817E-2</v>
      </c>
      <c r="F96" s="145">
        <f>+E20</f>
        <v>6.8076853525863817E-2</v>
      </c>
      <c r="G96" s="145">
        <f>+H20</f>
        <v>5.165212628627943E-2</v>
      </c>
      <c r="H96" s="145">
        <f>+K20</f>
        <v>4.8202428466411949E-2</v>
      </c>
      <c r="I96" s="145">
        <f>+N20</f>
        <v>4.8267929014096267E-2</v>
      </c>
      <c r="J96" s="145">
        <f>+Q20</f>
        <v>6.4386587928884811E-2</v>
      </c>
      <c r="K96" s="145">
        <f>+T20</f>
        <v>5.7523739960376706E-2</v>
      </c>
      <c r="L96" s="145">
        <f>+W20</f>
        <v>4.926056904910843E-2</v>
      </c>
      <c r="M96" s="145">
        <f>+Z20</f>
        <v>3.412836090765143E-2</v>
      </c>
      <c r="N96" s="145">
        <f>+AC20</f>
        <v>3.1821150506475437E-2</v>
      </c>
    </row>
    <row r="97" spans="1:14" ht="15.25">
      <c r="A97" t="s">
        <v>120</v>
      </c>
      <c r="B97" s="124" t="s">
        <v>60</v>
      </c>
      <c r="C97" s="148">
        <v>1.3090635215799132E-2</v>
      </c>
      <c r="D97" s="145">
        <v>1.3090635215799132E-2</v>
      </c>
      <c r="E97" s="145">
        <v>1.3090635215799132E-2</v>
      </c>
      <c r="F97" s="145">
        <f>+E21</f>
        <v>1.3090635215799132E-2</v>
      </c>
      <c r="G97" s="145">
        <f>+H21</f>
        <v>9.2483598135074847E-3</v>
      </c>
      <c r="H97" s="145">
        <f>+K21</f>
        <v>6.0645533107784432E-3</v>
      </c>
      <c r="I97" s="145">
        <f>+N21</f>
        <v>7.6216379010740978E-3</v>
      </c>
      <c r="J97" s="145">
        <f>+Q21</f>
        <v>2.3297015345143956E-2</v>
      </c>
      <c r="K97" s="145">
        <f>+T21</f>
        <v>1.7253210123770641E-2</v>
      </c>
      <c r="L97" s="145">
        <f>+W21</f>
        <v>1.2361619233427705E-2</v>
      </c>
      <c r="M97" s="145">
        <f>+Z21</f>
        <v>1.8790335980991273E-3</v>
      </c>
      <c r="N97" s="145">
        <f>+AC21</f>
        <v>1.5712705516276993E-3</v>
      </c>
    </row>
    <row r="98" spans="1:14" ht="15.25">
      <c r="A98" t="s">
        <v>121</v>
      </c>
      <c r="B98" s="124" t="s">
        <v>61</v>
      </c>
      <c r="C98" s="148">
        <v>1.9175438915582249E-3</v>
      </c>
      <c r="D98" s="145">
        <v>1.9175438915582249E-3</v>
      </c>
      <c r="E98" s="145">
        <v>1.9175438915582249E-3</v>
      </c>
      <c r="F98" s="145">
        <f>+E22</f>
        <v>1.9175438915582249E-3</v>
      </c>
      <c r="G98" s="145">
        <f>+H22</f>
        <v>1.5060255678414961E-3</v>
      </c>
      <c r="H98" s="145">
        <f>+K22</f>
        <v>1.0710367413173654E-3</v>
      </c>
      <c r="I98" s="145">
        <f>+N22</f>
        <v>1.6804617246653031E-3</v>
      </c>
      <c r="J98" s="145">
        <f>+Q22</f>
        <v>2.0894568673691005E-2</v>
      </c>
      <c r="K98" s="145">
        <f>+T22</f>
        <v>1.6146498790072593E-2</v>
      </c>
      <c r="L98" s="145">
        <f>+W22</f>
        <v>1.1455952389265573E-2</v>
      </c>
      <c r="M98" s="145">
        <f>+Z22</f>
        <v>1.0727570635144033E-3</v>
      </c>
      <c r="N98" s="145">
        <f>+AC22</f>
        <v>8.8114602222752578E-4</v>
      </c>
    </row>
    <row r="99" spans="1:14" ht="15.25">
      <c r="A99" t="s">
        <v>122</v>
      </c>
      <c r="B99" s="124" t="s">
        <v>123</v>
      </c>
      <c r="C99" s="148">
        <v>0.35185267843523671</v>
      </c>
      <c r="D99" s="145">
        <v>0.35185267843523671</v>
      </c>
      <c r="E99" s="145">
        <v>0.35185267843523671</v>
      </c>
      <c r="F99" s="145">
        <f>+E23</f>
        <v>0.35185267843523671</v>
      </c>
      <c r="G99" s="145">
        <f>+H23</f>
        <v>0.29533472921204673</v>
      </c>
      <c r="H99" s="145">
        <f>+K23</f>
        <v>0.27432440534114733</v>
      </c>
      <c r="I99" s="145">
        <f>+N23</f>
        <v>0.24880512131463645</v>
      </c>
      <c r="J99" s="145">
        <f>+Q23</f>
        <v>0.25418213540203943</v>
      </c>
      <c r="K99" s="145">
        <f>+T23</f>
        <v>0.24237182489017162</v>
      </c>
      <c r="L99" s="145">
        <f>+W23</f>
        <v>0.2392006957924393</v>
      </c>
      <c r="M99" s="145">
        <f>+Z23</f>
        <v>0.22859847484391321</v>
      </c>
      <c r="N99" s="145">
        <f>+AC23</f>
        <v>0.22942431813878342</v>
      </c>
    </row>
    <row r="100" spans="1:14" ht="15.25">
      <c r="A100" t="s">
        <v>124</v>
      </c>
      <c r="B100" s="124" t="s">
        <v>100</v>
      </c>
      <c r="C100" s="148">
        <v>-0.16182943469901528</v>
      </c>
      <c r="D100" s="145">
        <v>-0.16182943469901528</v>
      </c>
      <c r="E100" s="145">
        <v>-0.16182943469901528</v>
      </c>
      <c r="F100" s="145">
        <f>+E24</f>
        <v>-0.16182943469901528</v>
      </c>
      <c r="G100" s="145">
        <f>+H24</f>
        <v>-0.11955104139988525</v>
      </c>
      <c r="H100" s="145">
        <f>+K24</f>
        <v>-0.10811117985723813</v>
      </c>
      <c r="I100" s="145">
        <f>+N24</f>
        <v>-8.3344978076517584E-2</v>
      </c>
      <c r="J100" s="145">
        <f>+Q24</f>
        <v>-8.3398712072667039E-2</v>
      </c>
      <c r="K100" s="145">
        <f>+T24</f>
        <v>-6.6701763074131545E-2</v>
      </c>
      <c r="L100" s="145">
        <f>+W24</f>
        <v>-5.9749821362990459E-2</v>
      </c>
      <c r="M100" s="145">
        <f>+Z24</f>
        <v>-4.6750673394444477E-2</v>
      </c>
      <c r="N100" s="145">
        <f>+AC24</f>
        <v>-4.5711070238165626E-2</v>
      </c>
    </row>
    <row r="102" spans="1:14">
      <c r="B102" s="99" t="s">
        <v>125</v>
      </c>
      <c r="J102" s="127" t="s">
        <v>129</v>
      </c>
    </row>
    <row r="103" spans="1:14" ht="14.5">
      <c r="A103" s="113" t="s">
        <v>115</v>
      </c>
      <c r="B103" s="114" t="s">
        <v>116</v>
      </c>
      <c r="C103" s="125">
        <v>8717</v>
      </c>
      <c r="D103" s="125">
        <v>9386</v>
      </c>
      <c r="E103" s="125">
        <v>10270</v>
      </c>
      <c r="F103" s="125">
        <v>11988</v>
      </c>
      <c r="G103" s="125">
        <v>15293</v>
      </c>
      <c r="H103" s="125">
        <v>18370</v>
      </c>
      <c r="I103" s="125">
        <v>21512</v>
      </c>
      <c r="J103" s="125">
        <v>24413.458908105418</v>
      </c>
      <c r="K103" s="125">
        <v>27691.924366452891</v>
      </c>
      <c r="L103" s="125">
        <v>31146.35765766909</v>
      </c>
      <c r="M103" s="125">
        <v>34913.865199038082</v>
      </c>
      <c r="N103" s="125">
        <v>39154.682745506419</v>
      </c>
    </row>
    <row r="104" spans="1:14">
      <c r="A104" s="113" t="s">
        <v>117</v>
      </c>
      <c r="B104" s="113" t="s">
        <v>102</v>
      </c>
      <c r="C104" s="126">
        <v>0.1916114848665281</v>
      </c>
      <c r="D104" s="126">
        <v>0.19565371329252165</v>
      </c>
      <c r="E104" s="126">
        <v>0.19841380690425825</v>
      </c>
      <c r="F104" s="126">
        <v>0.1900232437362214</v>
      </c>
      <c r="G104" s="126">
        <v>0.17578368781216153</v>
      </c>
      <c r="H104" s="126">
        <v>0.16621322548390918</v>
      </c>
      <c r="I104" s="126">
        <v>0.16546014323811883</v>
      </c>
      <c r="J104" s="126">
        <v>0.17626652465618078</v>
      </c>
      <c r="K104" s="126">
        <v>0.18383799968178346</v>
      </c>
      <c r="L104" s="126">
        <v>0.18786735635011592</v>
      </c>
      <c r="M104" s="126">
        <v>0.18985626615967205</v>
      </c>
      <c r="N104" s="126">
        <v>0.19254613324113448</v>
      </c>
    </row>
    <row r="105" spans="1:14">
      <c r="A105" s="113" t="s">
        <v>118</v>
      </c>
      <c r="B105" s="113" t="s">
        <v>104</v>
      </c>
      <c r="C105" s="126">
        <v>0.26169584838513593</v>
      </c>
      <c r="D105" s="126">
        <v>0.19221900262116215</v>
      </c>
      <c r="E105" s="126">
        <v>0.19782906347200577</v>
      </c>
      <c r="F105" s="126">
        <v>0.28377582490937286</v>
      </c>
      <c r="G105" s="126">
        <v>0.24368260292576732</v>
      </c>
      <c r="H105" s="126">
        <v>0.22612197687473534</v>
      </c>
      <c r="I105" s="126">
        <v>0.20053719230054018</v>
      </c>
      <c r="J105" s="126">
        <v>0.19544292641226998</v>
      </c>
      <c r="K105" s="126">
        <v>0.19708559679766124</v>
      </c>
      <c r="L105" s="126">
        <v>0.20500503475212281</v>
      </c>
      <c r="M105" s="126">
        <v>0.20621080279034229</v>
      </c>
      <c r="N105" s="126">
        <v>0.21126024180894573</v>
      </c>
    </row>
    <row r="106" spans="1:14">
      <c r="A106" s="113" t="s">
        <v>119</v>
      </c>
      <c r="B106" s="113" t="s">
        <v>106</v>
      </c>
      <c r="C106" s="126">
        <v>3.7892348958031279E-2</v>
      </c>
      <c r="D106" s="126">
        <v>3.5500987718633741E-2</v>
      </c>
      <c r="E106" s="126">
        <v>3.1001519033258772E-2</v>
      </c>
      <c r="F106" s="126">
        <v>6.8076853525863817E-2</v>
      </c>
      <c r="G106" s="126">
        <v>5.165212628627943E-2</v>
      </c>
      <c r="H106" s="126">
        <v>4.8202428466411949E-2</v>
      </c>
      <c r="I106" s="126">
        <v>4.8267929014096267E-2</v>
      </c>
      <c r="J106" s="126">
        <v>6.5305740908504314E-2</v>
      </c>
      <c r="K106" s="126">
        <v>5.7506975131284256E-2</v>
      </c>
      <c r="L106" s="126">
        <v>4.8938235172937043E-2</v>
      </c>
      <c r="M106" s="126">
        <v>3.5534903705779032E-2</v>
      </c>
      <c r="N106" s="126">
        <v>3.2074422687699104E-2</v>
      </c>
    </row>
    <row r="107" spans="1:14">
      <c r="A107" s="113" t="s">
        <v>120</v>
      </c>
      <c r="B107" s="113" t="s">
        <v>126</v>
      </c>
      <c r="C107" s="126">
        <v>0</v>
      </c>
      <c r="D107" s="126">
        <v>2.0426379304576284E-3</v>
      </c>
      <c r="E107" s="126">
        <v>1.7328784205783835E-3</v>
      </c>
      <c r="F107" s="126">
        <v>1.3090635215799132E-2</v>
      </c>
      <c r="G107" s="126">
        <v>9.2483598135074847E-3</v>
      </c>
      <c r="H107" s="126">
        <v>6.0645533107784432E-3</v>
      </c>
      <c r="I107" s="126">
        <v>7.6216379010740978E-3</v>
      </c>
      <c r="J107" s="126">
        <v>2.426235405315183E-2</v>
      </c>
      <c r="K107" s="126">
        <v>1.8456095568033321E-2</v>
      </c>
      <c r="L107" s="126">
        <v>1.3338318225031951E-2</v>
      </c>
      <c r="M107" s="126">
        <v>2.0068315060444027E-3</v>
      </c>
      <c r="N107" s="126">
        <v>1.6801053432437812E-3</v>
      </c>
    </row>
    <row r="108" spans="1:14">
      <c r="A108" s="113" t="s">
        <v>121</v>
      </c>
      <c r="B108" s="119" t="s">
        <v>127</v>
      </c>
      <c r="C108" s="126">
        <v>0</v>
      </c>
      <c r="D108" s="126">
        <v>1.1478102727034605E-3</v>
      </c>
      <c r="E108" s="126">
        <v>9.6548223696638969E-4</v>
      </c>
      <c r="F108" s="126">
        <v>1.9175438915582249E-3</v>
      </c>
      <c r="G108" s="126">
        <v>1.5060255678414961E-3</v>
      </c>
      <c r="H108" s="126">
        <v>1.0710367413173654E-3</v>
      </c>
      <c r="I108" s="126">
        <v>1.6804617246653031E-3</v>
      </c>
      <c r="J108" s="126">
        <v>2.1759017871323384E-2</v>
      </c>
      <c r="K108" s="126">
        <v>1.7282329432638625E-2</v>
      </c>
      <c r="L108" s="126">
        <v>1.2373830456986199E-2</v>
      </c>
      <c r="M108" s="126">
        <v>1.1464202966653949E-3</v>
      </c>
      <c r="N108" s="126">
        <v>9.4222439746301809E-4</v>
      </c>
    </row>
    <row r="109" spans="1:14" ht="14.5">
      <c r="A109" s="113" t="s">
        <v>122</v>
      </c>
      <c r="B109" s="114" t="s">
        <v>123</v>
      </c>
      <c r="C109" s="126">
        <v>0.29958819734316722</v>
      </c>
      <c r="D109" s="126">
        <v>0.22772059125071548</v>
      </c>
      <c r="E109" s="126">
        <v>0.22883475129283029</v>
      </c>
      <c r="F109" s="126">
        <v>0.35185267843523671</v>
      </c>
      <c r="G109" s="126">
        <v>0.29533472921204673</v>
      </c>
      <c r="H109" s="126">
        <v>0.27432440534114733</v>
      </c>
      <c r="I109" s="126">
        <v>0.24880512131463645</v>
      </c>
      <c r="J109" s="126">
        <v>0.26074866732077423</v>
      </c>
      <c r="K109" s="126">
        <v>0.25459257192894552</v>
      </c>
      <c r="L109" s="126">
        <v>0.25394326992505989</v>
      </c>
      <c r="M109" s="126">
        <v>0.24174570649612137</v>
      </c>
      <c r="N109" s="126">
        <v>0.24333466449664484</v>
      </c>
    </row>
    <row r="110" spans="1:14">
      <c r="A110" s="113" t="s">
        <v>124</v>
      </c>
      <c r="B110" s="113" t="s">
        <v>100</v>
      </c>
      <c r="C110" s="126">
        <v>-0.10797671247663906</v>
      </c>
      <c r="D110" s="126">
        <v>-3.2066877958193851E-2</v>
      </c>
      <c r="E110" s="126">
        <v>-3.0420944388572128E-2</v>
      </c>
      <c r="F110" s="126">
        <v>-0.16182943469901528</v>
      </c>
      <c r="G110" s="126">
        <v>-0.11955104139988525</v>
      </c>
      <c r="H110" s="126">
        <v>-0.10811117985723813</v>
      </c>
      <c r="I110" s="126">
        <v>-8.3344978076517584E-2</v>
      </c>
      <c r="J110" s="126">
        <v>-8.4482142664593501E-2</v>
      </c>
      <c r="K110" s="126">
        <v>-7.0754572247162029E-2</v>
      </c>
      <c r="L110" s="126">
        <v>-6.6075913574943954E-2</v>
      </c>
      <c r="M110" s="126">
        <v>-5.1889440336449273E-2</v>
      </c>
      <c r="N110" s="126">
        <v>-5.0788531255510416E-2</v>
      </c>
    </row>
    <row r="111" spans="1:14">
      <c r="A111" s="113"/>
      <c r="B111" s="113"/>
    </row>
  </sheetData>
  <pageMargins left="0.2" right="0.2" top="0.25" bottom="0.25" header="0.3" footer="0.3"/>
  <pageSetup scale="49"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FiscQmfmTunes</vt:lpstr>
      <vt:lpstr>NKIA financing</vt:lpstr>
      <vt:lpstr>FiscQmfm</vt:lpstr>
      <vt:lpstr>FiscQmfm!fiscal_tunes</vt:lpstr>
      <vt:lpstr>fiscal_tunes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arend Kouwenaar</dc:creator>
  <cp:lastModifiedBy>Evariste MANIRUMVA</cp:lastModifiedBy>
  <cp:lastPrinted>2025-10-22T00:45:05Z</cp:lastPrinted>
  <dcterms:created xsi:type="dcterms:W3CDTF">2025-10-21T20:29:31Z</dcterms:created>
  <dcterms:modified xsi:type="dcterms:W3CDTF">2026-07-02T15:04:01Z</dcterms:modified>
</cp:coreProperties>
</file>