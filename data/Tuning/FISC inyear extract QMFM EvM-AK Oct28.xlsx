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cuments\GitHub\QMFM\data\Tuning\"/>
    </mc:Choice>
  </mc:AlternateContent>
  <xr:revisionPtr revIDLastSave="0" documentId="13_ncr:1_{3EDC0ECC-C3D0-4966-9A6C-03FA54F57824}" xr6:coauthVersionLast="47" xr6:coauthVersionMax="47" xr10:uidLastSave="{00000000-0000-0000-0000-000000000000}"/>
  <bookViews>
    <workbookView xWindow="57480" yWindow="-120" windowWidth="29040" windowHeight="15720" xr2:uid="{D61D5969-636A-4DAC-AE1D-E00E6EDBBDA0}"/>
  </bookViews>
  <sheets>
    <sheet name="FiscTuning_Rw" sheetId="2" r:id="rId1"/>
    <sheet name="NKIA Financing" sheetId="1" r:id="rId2"/>
  </sheets>
  <definedNames>
    <definedName name="fiscal_tunes">FiscTuning_Rw!$A$36:$AT$78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9" i="1" l="1"/>
  <c r="G19" i="1"/>
  <c r="F19" i="1"/>
  <c r="E19" i="1"/>
  <c r="L17" i="1"/>
  <c r="K17" i="1"/>
  <c r="J17" i="1"/>
  <c r="I17" i="1"/>
  <c r="H17" i="1"/>
  <c r="G17" i="1"/>
  <c r="F17" i="1"/>
  <c r="E17" i="1"/>
  <c r="D17" i="1"/>
  <c r="D19" i="1" s="1"/>
  <c r="I19" i="1" s="1"/>
  <c r="C17" i="1"/>
  <c r="AK86" i="2" l="1"/>
  <c r="AL86" i="2"/>
  <c r="AM86" i="2"/>
  <c r="AN86" i="2"/>
  <c r="AO86" i="2"/>
  <c r="AP86" i="2"/>
  <c r="AK87" i="2"/>
  <c r="AL87" i="2"/>
  <c r="AM87" i="2"/>
  <c r="AN87" i="2"/>
  <c r="AO87" i="2"/>
  <c r="AP87" i="2"/>
  <c r="AL88" i="2"/>
  <c r="AM88" i="2"/>
  <c r="AN88" i="2"/>
  <c r="AO88" i="2"/>
  <c r="AP88" i="2"/>
  <c r="AK89" i="2"/>
  <c r="AL89" i="2"/>
  <c r="AM89" i="2"/>
  <c r="AN89" i="2"/>
  <c r="AO89" i="2"/>
  <c r="AP89" i="2"/>
  <c r="A87" i="2"/>
  <c r="A88" i="2"/>
  <c r="A89" i="2"/>
  <c r="A84" i="2"/>
  <c r="A85" i="2"/>
  <c r="A86" i="2"/>
  <c r="AL84" i="2"/>
  <c r="AM84" i="2"/>
  <c r="AN84" i="2"/>
  <c r="AO84" i="2"/>
  <c r="AP84" i="2"/>
  <c r="AK85" i="2"/>
  <c r="AL85" i="2"/>
  <c r="AM85" i="2"/>
  <c r="AN85" i="2"/>
  <c r="AO85" i="2"/>
  <c r="AP85" i="2"/>
  <c r="AN83" i="2"/>
  <c r="AO83" i="2"/>
  <c r="AP83" i="2"/>
  <c r="AM83" i="2"/>
  <c r="AL83" i="2"/>
  <c r="A83" i="2"/>
  <c r="BA68" i="2"/>
  <c r="H12" i="1"/>
  <c r="H11" i="1"/>
  <c r="AK67" i="2"/>
  <c r="G12" i="1"/>
  <c r="F12" i="1"/>
  <c r="E12" i="1"/>
  <c r="D12" i="1"/>
  <c r="C12" i="1"/>
  <c r="G11" i="1"/>
  <c r="F11" i="1"/>
  <c r="E11" i="1"/>
  <c r="D11" i="1"/>
  <c r="C11" i="1"/>
  <c r="AJ69" i="2"/>
  <c r="G10" i="1"/>
  <c r="F10" i="1"/>
  <c r="E10" i="1"/>
  <c r="D10" i="1"/>
  <c r="C10" i="1"/>
  <c r="H8" i="1"/>
  <c r="G8" i="1"/>
  <c r="F8" i="1"/>
  <c r="E8" i="1"/>
  <c r="D8" i="1"/>
  <c r="C8" i="1"/>
  <c r="D7" i="1"/>
  <c r="E7" i="1"/>
  <c r="F7" i="1"/>
  <c r="G7" i="1"/>
  <c r="H7" i="1"/>
  <c r="C7" i="1"/>
  <c r="D2" i="1"/>
  <c r="E2" i="1"/>
  <c r="F2" i="1"/>
  <c r="G2" i="1"/>
  <c r="C2" i="1"/>
  <c r="AZ67" i="2" l="1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P77" i="2" l="1"/>
  <c r="AO78" i="2"/>
  <c r="AO77" i="2"/>
  <c r="AY44" i="2"/>
  <c r="AV44" i="2"/>
  <c r="AS44" i="2"/>
  <c r="AP44" i="2"/>
  <c r="AM44" i="2"/>
  <c r="AN44" i="2" s="1"/>
  <c r="A44" i="2"/>
  <c r="AZ44" i="2" l="1"/>
  <c r="AW44" i="2"/>
  <c r="AT44" i="2"/>
  <c r="AQ44" i="2"/>
  <c r="AP78" i="2" l="1"/>
  <c r="A65" i="2"/>
  <c r="AY58" i="2"/>
  <c r="AZ58" i="2" s="1"/>
  <c r="AV58" i="2"/>
  <c r="AW58" i="2" s="1"/>
  <c r="AS58" i="2"/>
  <c r="AT58" i="2" s="1"/>
  <c r="AP58" i="2"/>
  <c r="AQ58" i="2" s="1"/>
  <c r="AM58" i="2"/>
  <c r="AN58" i="2" s="1"/>
  <c r="AI57" i="2"/>
  <c r="AZ56" i="2"/>
  <c r="AY56" i="2"/>
  <c r="AX56" i="2"/>
  <c r="AX59" i="2" s="1"/>
  <c r="AW56" i="2"/>
  <c r="AV56" i="2"/>
  <c r="AU56" i="2"/>
  <c r="AU59" i="2" s="1"/>
  <c r="AT56" i="2"/>
  <c r="AS56" i="2"/>
  <c r="AR56" i="2"/>
  <c r="AQ56" i="2"/>
  <c r="AP56" i="2"/>
  <c r="AO56" i="2"/>
  <c r="AO59" i="2" s="1"/>
  <c r="AN56" i="2"/>
  <c r="AM56" i="2"/>
  <c r="AL56" i="2"/>
  <c r="AL59" i="2" s="1"/>
  <c r="AL61" i="2" s="1"/>
  <c r="AK56" i="2"/>
  <c r="AK59" i="2" s="1"/>
  <c r="AJ56" i="2"/>
  <c r="AJ59" i="2" s="1"/>
  <c r="AI56" i="2"/>
  <c r="AI59" i="2" s="1"/>
  <c r="A56" i="2"/>
  <c r="A54" i="2"/>
  <c r="A61" i="2" s="1"/>
  <c r="AL52" i="2"/>
  <c r="AL54" i="2" s="1"/>
  <c r="AY51" i="2"/>
  <c r="AY38" i="2" s="1"/>
  <c r="AV51" i="2"/>
  <c r="AW51" i="2" s="1"/>
  <c r="AW38" i="2" s="1"/>
  <c r="AW39" i="2" s="1"/>
  <c r="AS51" i="2"/>
  <c r="AP51" i="2"/>
  <c r="AM51" i="2"/>
  <c r="AJ51" i="2"/>
  <c r="AK51" i="2" s="1"/>
  <c r="AZ50" i="2"/>
  <c r="AY50" i="2"/>
  <c r="AX50" i="2"/>
  <c r="AX52" i="2" s="1"/>
  <c r="AX54" i="2" s="1"/>
  <c r="AW50" i="2"/>
  <c r="AV50" i="2"/>
  <c r="AU50" i="2"/>
  <c r="AU52" i="2" s="1"/>
  <c r="AT50" i="2"/>
  <c r="AS50" i="2"/>
  <c r="AR50" i="2"/>
  <c r="AR52" i="2" s="1"/>
  <c r="AR53" i="2" s="1"/>
  <c r="AQ50" i="2"/>
  <c r="AP50" i="2"/>
  <c r="AO50" i="2"/>
  <c r="AO52" i="2" s="1"/>
  <c r="AN50" i="2"/>
  <c r="AM50" i="2"/>
  <c r="AL50" i="2"/>
  <c r="AK50" i="2"/>
  <c r="AJ50" i="2"/>
  <c r="AI50" i="2"/>
  <c r="AI52" i="2" s="1"/>
  <c r="A50" i="2"/>
  <c r="AL47" i="2"/>
  <c r="AZ43" i="2"/>
  <c r="AZ45" i="2" s="1"/>
  <c r="AY43" i="2"/>
  <c r="AY45" i="2" s="1"/>
  <c r="AX43" i="2"/>
  <c r="AX45" i="2" s="1"/>
  <c r="AW43" i="2"/>
  <c r="AW45" i="2" s="1"/>
  <c r="AV43" i="2"/>
  <c r="AV45" i="2" s="1"/>
  <c r="AU43" i="2"/>
  <c r="AU45" i="2" s="1"/>
  <c r="AT43" i="2"/>
  <c r="AS43" i="2"/>
  <c r="AR43" i="2"/>
  <c r="AR45" i="2" s="1"/>
  <c r="AQ43" i="2"/>
  <c r="AQ45" i="2" s="1"/>
  <c r="AP43" i="2"/>
  <c r="AP45" i="2" s="1"/>
  <c r="AO43" i="2"/>
  <c r="AO45" i="2" s="1"/>
  <c r="AN43" i="2"/>
  <c r="AN45" i="2" s="1"/>
  <c r="AM43" i="2"/>
  <c r="AM45" i="2" s="1"/>
  <c r="AL43" i="2"/>
  <c r="AL45" i="2" s="1"/>
  <c r="AK43" i="2"/>
  <c r="AK45" i="2" s="1"/>
  <c r="AJ43" i="2"/>
  <c r="AI43" i="2"/>
  <c r="AI47" i="2" s="1"/>
  <c r="AJ46" i="2" s="1"/>
  <c r="AJ47" i="2" s="1"/>
  <c r="A43" i="2"/>
  <c r="AX38" i="2"/>
  <c r="AU38" i="2"/>
  <c r="AR38" i="2"/>
  <c r="AO38" i="2"/>
  <c r="AL38" i="2"/>
  <c r="A38" i="2"/>
  <c r="A58" i="2" s="1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37" i="2"/>
  <c r="AW36" i="2"/>
  <c r="AV36" i="2"/>
  <c r="AU36" i="2"/>
  <c r="AT36" i="2"/>
  <c r="AS36" i="2"/>
  <c r="AR36" i="2"/>
  <c r="AQ36" i="2"/>
  <c r="AQ71" i="2" s="1"/>
  <c r="AP36" i="2"/>
  <c r="AP71" i="2" s="1"/>
  <c r="AO36" i="2"/>
  <c r="AO71" i="2" s="1"/>
  <c r="AN36" i="2"/>
  <c r="AN71" i="2" s="1"/>
  <c r="AM36" i="2"/>
  <c r="AM71" i="2" s="1"/>
  <c r="AL36" i="2"/>
  <c r="AL71" i="2" s="1"/>
  <c r="AK36" i="2"/>
  <c r="AJ36" i="2"/>
  <c r="AI36" i="2"/>
  <c r="AP52" i="2" l="1"/>
  <c r="AP54" i="2" s="1"/>
  <c r="AS52" i="2"/>
  <c r="AS53" i="2" s="1"/>
  <c r="AU39" i="2"/>
  <c r="AU65" i="2" s="1"/>
  <c r="AX39" i="2"/>
  <c r="AY39" i="2"/>
  <c r="AR39" i="2"/>
  <c r="AT64" i="2"/>
  <c r="AT45" i="2"/>
  <c r="AS64" i="2"/>
  <c r="AS45" i="2"/>
  <c r="AY64" i="2"/>
  <c r="AW64" i="2"/>
  <c r="AX64" i="2"/>
  <c r="AV64" i="2"/>
  <c r="AM59" i="2"/>
  <c r="AM61" i="2" s="1"/>
  <c r="AR54" i="2"/>
  <c r="BA67" i="2"/>
  <c r="AN59" i="2"/>
  <c r="AO60" i="2"/>
  <c r="AO61" i="2"/>
  <c r="AO54" i="2"/>
  <c r="AO53" i="2"/>
  <c r="AV52" i="2"/>
  <c r="AV54" i="2" s="1"/>
  <c r="AP59" i="2"/>
  <c r="AP61" i="2" s="1"/>
  <c r="AQ59" i="2"/>
  <c r="AW52" i="2"/>
  <c r="AL39" i="2"/>
  <c r="AL65" i="2" s="1"/>
  <c r="AN64" i="2"/>
  <c r="AR64" i="2"/>
  <c r="AO64" i="2"/>
  <c r="AS59" i="2"/>
  <c r="AT59" i="2"/>
  <c r="AP64" i="2"/>
  <c r="AK52" i="2"/>
  <c r="AK65" i="2" s="1"/>
  <c r="AQ64" i="2"/>
  <c r="AM52" i="2"/>
  <c r="AM54" i="2" s="1"/>
  <c r="AV59" i="2"/>
  <c r="AV60" i="2" s="1"/>
  <c r="AW59" i="2"/>
  <c r="AT51" i="2"/>
  <c r="AT38" i="2" s="1"/>
  <c r="AT39" i="2" s="1"/>
  <c r="AU64" i="2"/>
  <c r="AY59" i="2"/>
  <c r="AY60" i="2" s="1"/>
  <c r="AZ59" i="2"/>
  <c r="AZ64" i="2"/>
  <c r="AL41" i="2"/>
  <c r="AY52" i="2"/>
  <c r="AY54" i="2" s="1"/>
  <c r="AL53" i="2"/>
  <c r="AO39" i="2"/>
  <c r="AO65" i="2" s="1"/>
  <c r="AP38" i="2"/>
  <c r="AP39" i="2"/>
  <c r="AS38" i="2"/>
  <c r="AS39" i="2" s="1"/>
  <c r="AU54" i="2"/>
  <c r="AU53" i="2"/>
  <c r="AU60" i="2"/>
  <c r="AU61" i="2"/>
  <c r="AX60" i="2"/>
  <c r="AX61" i="2"/>
  <c r="AN51" i="2"/>
  <c r="AI64" i="2"/>
  <c r="AJ64" i="2"/>
  <c r="AQ51" i="2"/>
  <c r="AQ38" i="2" s="1"/>
  <c r="AQ39" i="2" s="1"/>
  <c r="AR59" i="2"/>
  <c r="AK64" i="2"/>
  <c r="AX65" i="2"/>
  <c r="AM38" i="2"/>
  <c r="AM39" i="2" s="1"/>
  <c r="AX53" i="2"/>
  <c r="AL64" i="2"/>
  <c r="AJ52" i="2"/>
  <c r="AJ65" i="2" s="1"/>
  <c r="AV38" i="2"/>
  <c r="AV39" i="2" s="1"/>
  <c r="AZ51" i="2"/>
  <c r="AL60" i="2"/>
  <c r="AI46" i="2"/>
  <c r="AM46" i="2"/>
  <c r="AM64" i="2"/>
  <c r="AI65" i="2"/>
  <c r="AP65" i="2" l="1"/>
  <c r="AK68" i="2"/>
  <c r="AK69" i="2" s="1"/>
  <c r="AK57" i="2" s="1"/>
  <c r="AO68" i="2"/>
  <c r="AO69" i="2" s="1"/>
  <c r="AO57" i="2" s="1"/>
  <c r="AO73" i="2" s="1"/>
  <c r="AP68" i="2"/>
  <c r="AP69" i="2" s="1"/>
  <c r="AP57" i="2" s="1"/>
  <c r="AP73" i="2" s="1"/>
  <c r="AQ68" i="2"/>
  <c r="AQ69" i="2" s="1"/>
  <c r="AQ57" i="2" s="1"/>
  <c r="AQ73" i="2" s="1"/>
  <c r="AR68" i="2"/>
  <c r="AR69" i="2" s="1"/>
  <c r="AR57" i="2" s="1"/>
  <c r="AR73" i="2" s="1"/>
  <c r="AS68" i="2"/>
  <c r="AS69" i="2" s="1"/>
  <c r="AS57" i="2" s="1"/>
  <c r="AS73" i="2" s="1"/>
  <c r="AT68" i="2"/>
  <c r="AT69" i="2" s="1"/>
  <c r="AT57" i="2" s="1"/>
  <c r="AT73" i="2" s="1"/>
  <c r="AU68" i="2"/>
  <c r="AU69" i="2" s="1"/>
  <c r="AU57" i="2" s="1"/>
  <c r="AV68" i="2"/>
  <c r="AV69" i="2" s="1"/>
  <c r="AV57" i="2" s="1"/>
  <c r="AW68" i="2"/>
  <c r="AW69" i="2" s="1"/>
  <c r="AW57" i="2" s="1"/>
  <c r="AW62" i="2" s="1"/>
  <c r="AX68" i="2"/>
  <c r="AX69" i="2" s="1"/>
  <c r="AX57" i="2" s="1"/>
  <c r="AY68" i="2"/>
  <c r="AY69" i="2" s="1"/>
  <c r="AY57" i="2" s="1"/>
  <c r="AZ68" i="2"/>
  <c r="AZ69" i="2" s="1"/>
  <c r="AZ57" i="2" s="1"/>
  <c r="AZ62" i="2" s="1"/>
  <c r="AL68" i="2"/>
  <c r="AL69" i="2" s="1"/>
  <c r="AL57" i="2" s="1"/>
  <c r="AL73" i="2" s="1"/>
  <c r="AM68" i="2"/>
  <c r="AM69" i="2" s="1"/>
  <c r="AM57" i="2" s="1"/>
  <c r="AM73" i="2" s="1"/>
  <c r="AN68" i="2"/>
  <c r="AN69" i="2" s="1"/>
  <c r="AN57" i="2" s="1"/>
  <c r="AN73" i="2" s="1"/>
  <c r="AJ73" i="2" s="1"/>
  <c r="AP75" i="2" s="1"/>
  <c r="AS54" i="2"/>
  <c r="AM60" i="2"/>
  <c r="AN61" i="2" s="1"/>
  <c r="AP53" i="2"/>
  <c r="AV53" i="2"/>
  <c r="AW54" i="2" s="1"/>
  <c r="AN62" i="2"/>
  <c r="AP60" i="2"/>
  <c r="AS65" i="2"/>
  <c r="AQ61" i="2"/>
  <c r="AK48" i="2"/>
  <c r="AK47" i="2"/>
  <c r="AL40" i="2"/>
  <c r="AV65" i="2"/>
  <c r="AM53" i="2"/>
  <c r="AM65" i="2"/>
  <c r="AY53" i="2"/>
  <c r="AS60" i="2"/>
  <c r="AY61" i="2"/>
  <c r="AZ61" i="2" s="1"/>
  <c r="AT52" i="2"/>
  <c r="AT65" i="2" s="1"/>
  <c r="AV61" i="2"/>
  <c r="AW61" i="2" s="1"/>
  <c r="AY65" i="2"/>
  <c r="AS61" i="2"/>
  <c r="AW65" i="2"/>
  <c r="AM47" i="2"/>
  <c r="AO46" i="2" s="1"/>
  <c r="AN52" i="2"/>
  <c r="AN38" i="2"/>
  <c r="AN39" i="2" s="1"/>
  <c r="AQ52" i="2"/>
  <c r="AQ65" i="2" s="1"/>
  <c r="AZ38" i="2"/>
  <c r="AZ39" i="2" s="1"/>
  <c r="AZ52" i="2"/>
  <c r="AZ65" i="2" s="1"/>
  <c r="AR60" i="2"/>
  <c r="AR61" i="2"/>
  <c r="AR65" i="2"/>
  <c r="AO75" i="2" l="1"/>
  <c r="AO74" i="2"/>
  <c r="AS74" i="2"/>
  <c r="AS75" i="2"/>
  <c r="AR74" i="2"/>
  <c r="AR75" i="2"/>
  <c r="AM75" i="2"/>
  <c r="AL75" i="2"/>
  <c r="AL74" i="2"/>
  <c r="AP74" i="2"/>
  <c r="AM74" i="2"/>
  <c r="AM40" i="2"/>
  <c r="AQ62" i="2"/>
  <c r="AT62" i="2"/>
  <c r="AZ54" i="2"/>
  <c r="AN54" i="2"/>
  <c r="AT61" i="2"/>
  <c r="AN47" i="2"/>
  <c r="AQ54" i="2"/>
  <c r="AT54" i="2"/>
  <c r="AN65" i="2"/>
  <c r="AM41" i="2"/>
  <c r="AN41" i="2" s="1"/>
  <c r="AN48" i="2"/>
  <c r="AN75" i="2" l="1"/>
  <c r="AQ75" i="2"/>
  <c r="AT75" i="2"/>
  <c r="AO47" i="2"/>
  <c r="AO40" i="2"/>
  <c r="AP46" i="2" l="1"/>
  <c r="AO41" i="2"/>
  <c r="AP47" i="2" l="1"/>
  <c r="AR46" i="2" s="1"/>
  <c r="AP40" i="2"/>
  <c r="AQ48" i="2" l="1"/>
  <c r="AQ47" i="2"/>
  <c r="AP41" i="2"/>
  <c r="AQ41" i="2" s="1"/>
  <c r="AR40" i="2" l="1"/>
  <c r="AR47" i="2"/>
  <c r="AS46" i="2" l="1"/>
  <c r="AR41" i="2"/>
  <c r="AS40" i="2" l="1"/>
  <c r="AS47" i="2"/>
  <c r="AT47" i="2" s="1"/>
  <c r="AT48" i="2"/>
  <c r="AU46" i="2" l="1"/>
  <c r="AS41" i="2"/>
  <c r="AT41" i="2" s="1"/>
  <c r="AU40" i="2" l="1"/>
  <c r="AU47" i="2"/>
  <c r="AV46" i="2" l="1"/>
  <c r="AU41" i="2"/>
  <c r="AV40" i="2" l="1"/>
  <c r="AV47" i="2"/>
  <c r="AW47" i="2" s="1"/>
  <c r="AW48" i="2" l="1"/>
  <c r="AX46" i="2"/>
  <c r="AV41" i="2"/>
  <c r="AW41" i="2" s="1"/>
  <c r="AX40" i="2" l="1"/>
  <c r="AX47" i="2"/>
  <c r="AY46" i="2" l="1"/>
  <c r="AX41" i="2"/>
  <c r="AY40" i="2" l="1"/>
  <c r="AY47" i="2"/>
  <c r="AY41" i="2" s="1"/>
  <c r="AZ47" i="2" l="1"/>
  <c r="AZ41" i="2"/>
  <c r="AZ4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arend Kouwenaar</author>
  </authors>
  <commentList>
    <comment ref="AP44" authorId="0" shapeId="0" xr:uid="{82017865-02B4-494B-BA4F-EAC5758C4BB0}">
      <text>
        <r>
          <rPr>
            <sz val="13"/>
            <color indexed="81"/>
            <rFont val="Tahoma"/>
            <family val="2"/>
          </rPr>
          <t>is this backloading correct?</t>
        </r>
      </text>
    </comment>
    <comment ref="AS44" authorId="0" shapeId="0" xr:uid="{1AB3B30C-D163-4CA9-98A6-AD4F8CA643AC}">
      <text>
        <r>
          <rPr>
            <sz val="13"/>
            <color indexed="81"/>
            <rFont val="Tahoma"/>
            <family val="2"/>
          </rPr>
          <t>is this backloading correct?</t>
        </r>
      </text>
    </comment>
    <comment ref="AV44" authorId="0" shapeId="0" xr:uid="{7E51D558-A144-4446-9BEB-89F0DA6AD31D}">
      <text>
        <r>
          <rPr>
            <sz val="13"/>
            <color indexed="81"/>
            <rFont val="Tahoma"/>
            <family val="2"/>
          </rPr>
          <t>is this backloading correct?</t>
        </r>
      </text>
    </comment>
    <comment ref="AY44" authorId="0" shapeId="0" xr:uid="{8AA4BC98-E4CC-48FC-8A28-F7C94C4E46C0}">
      <text>
        <r>
          <rPr>
            <sz val="13"/>
            <color indexed="81"/>
            <rFont val="Tahoma"/>
            <family val="2"/>
          </rPr>
          <t>is this backloading correct?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70BEE8D7-393D-40E0-9E7F-9C769B39857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Bugesera tables  september
</t>
        </r>
      </text>
    </comment>
  </commentList>
</comments>
</file>

<file path=xl/sharedStrings.xml><?xml version="1.0" encoding="utf-8"?>
<sst xmlns="http://schemas.openxmlformats.org/spreadsheetml/2006/main" count="232" uniqueCount="88">
  <si>
    <t>Extract from FISCAL in-year, with corrected GDP numbers, lonked to intMF FY GDP</t>
  </si>
  <si>
    <t>III.2 FISCAL  "TOFE" GFS 2014 PRESENTATION - detailed TOFE</t>
  </si>
  <si>
    <t>2013/14</t>
  </si>
  <si>
    <t>2014/15</t>
  </si>
  <si>
    <t>2015/16</t>
  </si>
  <si>
    <t>2016/17</t>
  </si>
  <si>
    <t>2017/18</t>
  </si>
  <si>
    <t>2018/19</t>
  </si>
  <si>
    <t>2019/20</t>
  </si>
  <si>
    <t>2020/2021</t>
  </si>
  <si>
    <t>2021/2022</t>
  </si>
  <si>
    <t>2022/2023</t>
  </si>
  <si>
    <t>2023/2024</t>
  </si>
  <si>
    <t>2024/2025</t>
  </si>
  <si>
    <t>2025/2026</t>
  </si>
  <si>
    <t>2026/2027</t>
  </si>
  <si>
    <t>2027/2028</t>
  </si>
  <si>
    <t>2028/2029</t>
  </si>
  <si>
    <t>2029/2030</t>
  </si>
  <si>
    <t>March 2025 Revision</t>
  </si>
  <si>
    <t>Jul-Dec</t>
  </si>
  <si>
    <t>Jan-Jun</t>
  </si>
  <si>
    <t>Proj.</t>
  </si>
  <si>
    <t>Est.</t>
  </si>
  <si>
    <t>July-Dec</t>
  </si>
  <si>
    <t>Jan-June</t>
  </si>
  <si>
    <t xml:space="preserve">Nominal GDP </t>
  </si>
  <si>
    <t>Grev in % of GDP</t>
  </si>
  <si>
    <t>Gdem in % of GDP</t>
  </si>
  <si>
    <t>Other Expenditure of %GDP</t>
  </si>
  <si>
    <t>Tot Spending in % of GDP</t>
  </si>
  <si>
    <t>Deficit (Excl. Grants ) % of GDP</t>
  </si>
  <si>
    <t xml:space="preserve">October 17 2025 revision </t>
  </si>
  <si>
    <t>Grev (Taxes and Other Rev.)</t>
  </si>
  <si>
    <t>Gdem (Salaries, Use of G&amp;S, (CG,LG,EBUS'S),Capital Spending, Other Expense)</t>
  </si>
  <si>
    <t>Other Expenditure (Subsidies, Interest, Social Benefits, Net Lending)</t>
  </si>
  <si>
    <t>Tot Spending (Incl. Net Lending)</t>
  </si>
  <si>
    <t>Deficit ( Excl. Grants) 1986</t>
  </si>
  <si>
    <t>Check</t>
  </si>
  <si>
    <t/>
  </si>
  <si>
    <t>fiscal_tunes below this</t>
  </si>
  <si>
    <t>QMFM Tuning Adj.</t>
  </si>
  <si>
    <t>deficit corrected for frontloading</t>
  </si>
  <si>
    <t>residual smoothened deficit first quarter sem</t>
  </si>
  <si>
    <t xml:space="preserve">                                                               second Q in sem</t>
  </si>
  <si>
    <t>smoothened revenue   first quarter sem</t>
  </si>
  <si>
    <t xml:space="preserve">                                                 second Q in sem</t>
  </si>
  <si>
    <t xml:space="preserve">correction </t>
  </si>
  <si>
    <t>smoothened gdemand first quarter sem</t>
  </si>
  <si>
    <t xml:space="preserve">  o/w: Bugesera</t>
  </si>
  <si>
    <t>oexp corrected for other OEXP unevenness</t>
  </si>
  <si>
    <t>smoothened other expend  first quarter sem</t>
  </si>
  <si>
    <t>check</t>
  </si>
  <si>
    <t xml:space="preserve">       in % of FY GDP</t>
  </si>
  <si>
    <t>private investment shock first quarter sem</t>
  </si>
  <si>
    <t>inv/GDP</t>
  </si>
  <si>
    <t xml:space="preserve">                                                              second Q in sem</t>
  </si>
  <si>
    <t>Q factors</t>
  </si>
  <si>
    <t>fraction impact</t>
  </si>
  <si>
    <t>fiscal_tunes above this</t>
  </si>
  <si>
    <t>REAL mln $</t>
  </si>
  <si>
    <t>2025-29</t>
  </si>
  <si>
    <t>sum 25-30</t>
  </si>
  <si>
    <t xml:space="preserve">     PM oexp excl. Bugesera</t>
  </si>
  <si>
    <r>
      <t xml:space="preserve">revenue corrected for backloading </t>
    </r>
    <r>
      <rPr>
        <b/>
        <i/>
        <sz val="11"/>
        <color rgb="FFC00000"/>
        <rFont val="Aptos Narrow"/>
        <family val="2"/>
        <scheme val="minor"/>
      </rPr>
      <t>(check</t>
    </r>
    <r>
      <rPr>
        <b/>
        <i/>
        <sz val="11"/>
        <color theme="1"/>
        <rFont val="Aptos Narrow"/>
        <family val="2"/>
        <scheme val="minor"/>
      </rPr>
      <t>)</t>
    </r>
  </si>
  <si>
    <r>
      <t>gdemand corrected for frontloading (</t>
    </r>
    <r>
      <rPr>
        <b/>
        <i/>
        <sz val="11"/>
        <color rgb="FFC00000"/>
        <rFont val="Aptos Narrow"/>
        <family val="2"/>
        <scheme val="minor"/>
      </rPr>
      <t>check</t>
    </r>
    <r>
      <rPr>
        <b/>
        <i/>
        <sz val="11"/>
        <color theme="1"/>
        <rFont val="Aptos Narrow"/>
        <family val="2"/>
        <scheme val="minor"/>
      </rPr>
      <t>)</t>
    </r>
  </si>
  <si>
    <t>private investment shock ~ Bugesera (Govt part)</t>
  </si>
  <si>
    <t>average 2025/26-2026/27</t>
  </si>
  <si>
    <t xml:space="preserve">    O/w Net Lending</t>
  </si>
  <si>
    <t xml:space="preserve">    O/w Bugesera </t>
  </si>
  <si>
    <t xml:space="preserve">        Adjust big project (Bugesera) in mln USD (DFI + Equity+ Ext.loans, also in BOP; ATL)</t>
  </si>
  <si>
    <t xml:space="preserve">Bugesera Qatar FDI Equity (from 2025 as in BOP in mln USD) </t>
  </si>
  <si>
    <t>Bugesera Govt Equity (ATL) (from 2024 as in BOP in mln USD)</t>
  </si>
  <si>
    <t>Exchange rate RWF/USD (end of period) CY</t>
  </si>
  <si>
    <t>Depr rate</t>
  </si>
  <si>
    <t>period average ER</t>
  </si>
  <si>
    <t>NB Bugesera govt spending on equity US$ mln</t>
  </si>
  <si>
    <t xml:space="preserve">Bugesera Qatar FDI Equity (from 2025 as in BOP in bln RWF) </t>
  </si>
  <si>
    <t>Bugesera Govt Equity (ATL) (from 2024 as in BOP in bln RWF)</t>
  </si>
  <si>
    <r>
      <t xml:space="preserve"> Bugesera Qatar new equity US$ mln </t>
    </r>
    <r>
      <rPr>
        <sz val="8"/>
        <color theme="1"/>
        <rFont val="Aptos Narrow"/>
        <family val="2"/>
        <scheme val="minor"/>
      </rPr>
      <t>allocate over semesters as govt equity</t>
    </r>
  </si>
  <si>
    <t>2020/21</t>
  </si>
  <si>
    <t>2021/22</t>
  </si>
  <si>
    <t>2022/23</t>
  </si>
  <si>
    <t>2023/24</t>
  </si>
  <si>
    <t>2024/25</t>
  </si>
  <si>
    <t>Sem</t>
  </si>
  <si>
    <t>Diff</t>
  </si>
  <si>
    <t>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</si>
</sst>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0.0%"/>
    <numFmt numFmtId="166" formatCode="#,##0.000"/>
    <numFmt numFmtId="167" formatCode="_(* #,##0_);_(* \(#,##0\);_(* &quot;-&quot;??_);_(@_)"/>
    <numFmt numFmtId="168" formatCode="_(* #,##0.0_);_(* \(#,##0.0\);_(* &quot;-&quot;_);_(@_)"/>
    <numFmt numFmtId="169" formatCode="_(* #,##0.0_);_(* \(#,##0.0\);_(* &quot;-&quot;??_);_(@_)"/>
    <numFmt numFmtId="170" formatCode="0.0"/>
  </numFmts>
  <fonts count="4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7"/>
      <color theme="1"/>
      <name val="Aptos Narrow"/>
      <family val="2"/>
      <scheme val="minor"/>
    </font>
    <font>
      <i/>
      <sz val="8"/>
      <color rgb="FF38761D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9"/>
      <color theme="1"/>
      <name val="Bahnschrift"/>
      <family val="2"/>
    </font>
    <font>
      <sz val="11"/>
      <color rgb="FFFF0000"/>
      <name val="Bahnschrift"/>
      <family val="2"/>
    </font>
    <font>
      <b/>
      <sz val="12"/>
      <color theme="1"/>
      <name val="Aptos Display"/>
      <family val="1"/>
      <scheme val="major"/>
    </font>
    <font>
      <b/>
      <sz val="10"/>
      <color theme="1"/>
      <name val="Aptos Display"/>
      <family val="1"/>
      <scheme val="major"/>
    </font>
    <font>
      <sz val="12"/>
      <color theme="1"/>
      <name val="Aptos Display"/>
      <family val="1"/>
      <scheme val="major"/>
    </font>
    <font>
      <sz val="10"/>
      <color theme="1"/>
      <name val="Aptos Display"/>
      <family val="1"/>
      <scheme val="major"/>
    </font>
    <font>
      <sz val="11"/>
      <color theme="1"/>
      <name val="Aptos Display"/>
      <family val="1"/>
      <scheme val="major"/>
    </font>
    <font>
      <sz val="12"/>
      <color rgb="FFFF0000"/>
      <name val="Aptos Display"/>
      <family val="1"/>
      <scheme val="major"/>
    </font>
    <font>
      <sz val="10"/>
      <color rgb="FFFF0000"/>
      <name val="Aptos Display"/>
      <family val="1"/>
      <scheme val="major"/>
    </font>
    <font>
      <sz val="11"/>
      <color rgb="FFFF0000"/>
      <name val="Aptos Display"/>
      <family val="1"/>
      <scheme val="major"/>
    </font>
    <font>
      <sz val="8"/>
      <color rgb="FFFF0000"/>
      <name val="Aptos Display"/>
      <family val="1"/>
      <scheme val="major"/>
    </font>
    <font>
      <b/>
      <sz val="12"/>
      <color theme="1"/>
      <name val="Aptos Display"/>
      <family val="2"/>
      <scheme val="major"/>
    </font>
    <font>
      <b/>
      <sz val="10"/>
      <color theme="1"/>
      <name val="Aptos Narrow"/>
      <family val="2"/>
      <scheme val="minor"/>
    </font>
    <font>
      <u/>
      <sz val="12"/>
      <color theme="1"/>
      <name val="Aptos Display"/>
      <family val="1"/>
      <scheme val="major"/>
    </font>
    <font>
      <sz val="9"/>
      <color rgb="FFC0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color rgb="FFFF00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color rgb="FFA2000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theme="1"/>
      <name val="Aptos Display"/>
      <family val="1"/>
      <scheme val="major"/>
    </font>
    <font>
      <b/>
      <sz val="8"/>
      <color theme="1"/>
      <name val="Aptos Narrow"/>
      <family val="2"/>
      <scheme val="minor"/>
    </font>
    <font>
      <b/>
      <sz val="9"/>
      <color rgb="FFC00000"/>
      <name val="Aptos Narrow"/>
      <family val="2"/>
      <scheme val="minor"/>
    </font>
    <font>
      <sz val="13"/>
      <color indexed="81"/>
      <name val="Tahoma"/>
      <family val="2"/>
    </font>
    <font>
      <b/>
      <i/>
      <sz val="11"/>
      <color rgb="FFC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Aptos Narrow"/>
      <family val="2"/>
      <scheme val="minor"/>
    </font>
    <font>
      <b/>
      <sz val="11"/>
      <color theme="1"/>
      <name val="Aptos Display"/>
      <family val="1"/>
      <scheme val="major"/>
    </font>
    <font>
      <b/>
      <sz val="12"/>
      <color rgb="FFFF0000"/>
      <name val="Aptos Display"/>
      <family val="1"/>
      <scheme val="major"/>
    </font>
    <font>
      <b/>
      <sz val="11"/>
      <color rgb="FFFF0000"/>
      <name val="Aptos Display"/>
      <family val="1"/>
      <scheme val="major"/>
    </font>
    <font>
      <b/>
      <i/>
      <sz val="10"/>
      <color theme="1"/>
      <name val="Aptos Narrow"/>
      <family val="2"/>
      <scheme val="minor"/>
    </font>
    <font>
      <b/>
      <sz val="10"/>
      <color rgb="FFC00000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b/>
      <sz val="10"/>
      <color rgb="FFA2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FEE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ck">
        <color rgb="FFC00000"/>
      </bottom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/>
      <top style="thin">
        <color rgb="FFC00000"/>
      </top>
      <bottom/>
      <diagonal/>
    </border>
    <border>
      <left/>
      <right/>
      <top style="thin">
        <color rgb="FFC00000"/>
      </top>
      <bottom/>
      <diagonal/>
    </border>
    <border>
      <left style="thin">
        <color rgb="FFC00000"/>
      </left>
      <right/>
      <top/>
      <bottom style="thin">
        <color rgb="FFC00000"/>
      </bottom>
      <diagonal/>
    </border>
    <border>
      <left/>
      <right/>
      <top/>
      <bottom style="thin">
        <color rgb="FFC00000"/>
      </bottom>
      <diagonal/>
    </border>
    <border>
      <left/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/>
      <top/>
      <bottom/>
      <diagonal/>
    </border>
    <border>
      <left/>
      <right style="thin">
        <color rgb="FFC00000"/>
      </right>
      <top/>
      <bottom/>
      <diagonal/>
    </border>
    <border>
      <left/>
      <right style="thin">
        <color rgb="FFC00000"/>
      </right>
      <top/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/>
      <diagonal/>
    </border>
    <border>
      <left/>
      <right style="mediumDashed">
        <color rgb="FFC00000"/>
      </right>
      <top style="thick">
        <color rgb="FFC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6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/>
    <xf numFmtId="164" fontId="7" fillId="0" borderId="2" xfId="0" applyNumberFormat="1" applyFont="1" applyBorder="1" applyAlignment="1">
      <alignment horizontal="right"/>
    </xf>
    <xf numFmtId="164" fontId="7" fillId="0" borderId="2" xfId="0" applyNumberFormat="1" applyFont="1" applyBorder="1" applyAlignment="1">
      <alignment horizontal="center"/>
    </xf>
    <xf numFmtId="0" fontId="7" fillId="0" borderId="0" xfId="0" applyFont="1"/>
    <xf numFmtId="17" fontId="8" fillId="0" borderId="0" xfId="0" applyNumberFormat="1" applyFont="1" applyAlignment="1">
      <alignment vertical="center"/>
    </xf>
    <xf numFmtId="164" fontId="9" fillId="0" borderId="0" xfId="0" applyNumberFormat="1" applyFont="1" applyAlignment="1">
      <alignment horizontal="right"/>
    </xf>
    <xf numFmtId="164" fontId="9" fillId="0" borderId="0" xfId="0" applyNumberFormat="1" applyFont="1" applyAlignment="1">
      <alignment horizontal="center"/>
    </xf>
    <xf numFmtId="164" fontId="10" fillId="0" borderId="0" xfId="0" applyNumberFormat="1" applyFont="1" applyAlignment="1">
      <alignment horizontal="center"/>
    </xf>
    <xf numFmtId="0" fontId="11" fillId="2" borderId="0" xfId="0" applyFont="1" applyFill="1"/>
    <xf numFmtId="164" fontId="0" fillId="0" borderId="0" xfId="0" applyNumberFormat="1"/>
    <xf numFmtId="165" fontId="0" fillId="0" borderId="0" xfId="0" applyNumberFormat="1"/>
    <xf numFmtId="164" fontId="11" fillId="0" borderId="0" xfId="0" applyNumberFormat="1" applyFont="1"/>
    <xf numFmtId="164" fontId="11" fillId="3" borderId="0" xfId="0" applyNumberFormat="1" applyFont="1" applyFill="1" applyAlignment="1">
      <alignment horizontal="right"/>
    </xf>
    <xf numFmtId="164" fontId="11" fillId="0" borderId="0" xfId="0" applyNumberFormat="1" applyFont="1" applyAlignment="1">
      <alignment horizontal="right"/>
    </xf>
    <xf numFmtId="166" fontId="11" fillId="0" borderId="0" xfId="0" applyNumberFormat="1" applyFont="1" applyAlignment="1">
      <alignment horizontal="right"/>
    </xf>
    <xf numFmtId="164" fontId="12" fillId="0" borderId="0" xfId="0" applyNumberFormat="1" applyFont="1" applyAlignment="1">
      <alignment horizontal="right"/>
    </xf>
    <xf numFmtId="164" fontId="12" fillId="3" borderId="0" xfId="0" applyNumberFormat="1" applyFont="1" applyFill="1" applyAlignment="1">
      <alignment horizontal="right"/>
    </xf>
    <xf numFmtId="164" fontId="12" fillId="0" borderId="0" xfId="0" applyNumberFormat="1" applyFont="1"/>
    <xf numFmtId="164" fontId="11" fillId="2" borderId="0" xfId="0" applyNumberFormat="1" applyFont="1" applyFill="1"/>
    <xf numFmtId="3" fontId="12" fillId="2" borderId="0" xfId="0" applyNumberFormat="1" applyFont="1" applyFill="1"/>
    <xf numFmtId="1" fontId="13" fillId="2" borderId="0" xfId="0" applyNumberFormat="1" applyFont="1" applyFill="1"/>
    <xf numFmtId="0" fontId="14" fillId="2" borderId="0" xfId="0" applyFont="1" applyFill="1" applyAlignment="1">
      <alignment horizontal="right"/>
    </xf>
    <xf numFmtId="164" fontId="14" fillId="2" borderId="0" xfId="0" applyNumberFormat="1" applyFont="1" applyFill="1"/>
    <xf numFmtId="0" fontId="14" fillId="2" borderId="0" xfId="0" applyFont="1" applyFill="1"/>
    <xf numFmtId="9" fontId="14" fillId="2" borderId="0" xfId="3" applyFont="1" applyFill="1"/>
    <xf numFmtId="164" fontId="15" fillId="2" borderId="0" xfId="0" applyNumberFormat="1" applyFont="1" applyFill="1"/>
    <xf numFmtId="1" fontId="16" fillId="2" borderId="0" xfId="0" applyNumberFormat="1" applyFont="1" applyFill="1"/>
    <xf numFmtId="164" fontId="11" fillId="4" borderId="0" xfId="0" applyNumberFormat="1" applyFont="1" applyFill="1"/>
    <xf numFmtId="3" fontId="11" fillId="2" borderId="0" xfId="0" applyNumberFormat="1" applyFont="1" applyFill="1"/>
    <xf numFmtId="3" fontId="12" fillId="5" borderId="0" xfId="0" applyNumberFormat="1" applyFont="1" applyFill="1"/>
    <xf numFmtId="1" fontId="13" fillId="5" borderId="0" xfId="0" applyNumberFormat="1" applyFont="1" applyFill="1"/>
    <xf numFmtId="167" fontId="13" fillId="5" borderId="0" xfId="1" applyNumberFormat="1" applyFont="1" applyFill="1"/>
    <xf numFmtId="165" fontId="11" fillId="2" borderId="0" xfId="3" applyNumberFormat="1" applyFont="1" applyFill="1"/>
    <xf numFmtId="165" fontId="12" fillId="2" borderId="0" xfId="3" applyNumberFormat="1" applyFont="1" applyFill="1"/>
    <xf numFmtId="165" fontId="13" fillId="2" borderId="0" xfId="3" applyNumberFormat="1" applyFont="1" applyFill="1"/>
    <xf numFmtId="0" fontId="17" fillId="0" borderId="0" xfId="0" applyFont="1"/>
    <xf numFmtId="0" fontId="18" fillId="0" borderId="0" xfId="0" applyFont="1"/>
    <xf numFmtId="164" fontId="6" fillId="0" borderId="0" xfId="0" applyNumberFormat="1" applyFont="1"/>
    <xf numFmtId="164" fontId="19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20" fillId="0" borderId="0" xfId="0" applyFont="1"/>
    <xf numFmtId="165" fontId="6" fillId="0" borderId="0" xfId="0" applyNumberFormat="1" applyFont="1"/>
    <xf numFmtId="165" fontId="21" fillId="0" borderId="0" xfId="0" applyNumberFormat="1" applyFont="1"/>
    <xf numFmtId="0" fontId="22" fillId="0" borderId="0" xfId="0" applyFont="1"/>
    <xf numFmtId="165" fontId="23" fillId="0" borderId="0" xfId="0" applyNumberFormat="1" applyFont="1"/>
    <xf numFmtId="165" fontId="3" fillId="6" borderId="3" xfId="0" applyNumberFormat="1" applyFont="1" applyFill="1" applyBorder="1"/>
    <xf numFmtId="165" fontId="0" fillId="6" borderId="4" xfId="0" applyNumberFormat="1" applyFill="1" applyBorder="1"/>
    <xf numFmtId="165" fontId="3" fillId="6" borderId="4" xfId="0" applyNumberFormat="1" applyFont="1" applyFill="1" applyBorder="1"/>
    <xf numFmtId="165" fontId="0" fillId="6" borderId="5" xfId="0" applyNumberFormat="1" applyFill="1" applyBorder="1"/>
    <xf numFmtId="165" fontId="3" fillId="6" borderId="0" xfId="0" applyNumberFormat="1" applyFont="1" applyFill="1"/>
    <xf numFmtId="165" fontId="0" fillId="6" borderId="0" xfId="0" applyNumberFormat="1" applyFill="1"/>
    <xf numFmtId="165" fontId="3" fillId="6" borderId="6" xfId="0" applyNumberFormat="1" applyFont="1" applyFill="1" applyBorder="1"/>
    <xf numFmtId="165" fontId="0" fillId="6" borderId="7" xfId="0" applyNumberFormat="1" applyFill="1" applyBorder="1"/>
    <xf numFmtId="165" fontId="3" fillId="6" borderId="7" xfId="0" applyNumberFormat="1" applyFont="1" applyFill="1" applyBorder="1"/>
    <xf numFmtId="165" fontId="0" fillId="6" borderId="9" xfId="0" applyNumberFormat="1" applyFill="1" applyBorder="1"/>
    <xf numFmtId="0" fontId="24" fillId="0" borderId="0" xfId="0" applyFont="1"/>
    <xf numFmtId="165" fontId="25" fillId="0" borderId="0" xfId="0" applyNumberFormat="1" applyFont="1"/>
    <xf numFmtId="0" fontId="2" fillId="0" borderId="0" xfId="0" applyFont="1"/>
    <xf numFmtId="9" fontId="21" fillId="0" borderId="0" xfId="0" applyNumberFormat="1" applyFont="1"/>
    <xf numFmtId="165" fontId="3" fillId="0" borderId="0" xfId="0" applyNumberFormat="1" applyFont="1"/>
    <xf numFmtId="0" fontId="0" fillId="5" borderId="0" xfId="0" applyFill="1"/>
    <xf numFmtId="0" fontId="6" fillId="5" borderId="0" xfId="0" applyFont="1" applyFill="1"/>
    <xf numFmtId="165" fontId="6" fillId="5" borderId="0" xfId="0" applyNumberFormat="1" applyFont="1" applyFill="1"/>
    <xf numFmtId="0" fontId="26" fillId="0" borderId="0" xfId="0" applyFont="1"/>
    <xf numFmtId="165" fontId="3" fillId="6" borderId="5" xfId="0" applyNumberFormat="1" applyFont="1" applyFill="1" applyBorder="1"/>
    <xf numFmtId="165" fontId="3" fillId="6" borderId="9" xfId="0" applyNumberFormat="1" applyFont="1" applyFill="1" applyBorder="1"/>
    <xf numFmtId="0" fontId="2" fillId="0" borderId="0" xfId="0" applyFont="1" applyAlignment="1">
      <alignment horizontal="right"/>
    </xf>
    <xf numFmtId="0" fontId="6" fillId="0" borderId="12" xfId="0" applyFont="1" applyBorder="1"/>
    <xf numFmtId="0" fontId="6" fillId="0" borderId="13" xfId="0" applyFont="1" applyBorder="1"/>
    <xf numFmtId="0" fontId="6" fillId="0" borderId="14" xfId="0" applyFont="1" applyBorder="1"/>
    <xf numFmtId="0" fontId="6" fillId="0" borderId="15" xfId="0" applyFont="1" applyBorder="1"/>
    <xf numFmtId="168" fontId="27" fillId="0" borderId="0" xfId="2" applyNumberFormat="1" applyFont="1"/>
    <xf numFmtId="165" fontId="19" fillId="0" borderId="0" xfId="0" applyNumberFormat="1" applyFont="1"/>
    <xf numFmtId="165" fontId="23" fillId="6" borderId="3" xfId="0" applyNumberFormat="1" applyFont="1" applyFill="1" applyBorder="1"/>
    <xf numFmtId="165" fontId="23" fillId="6" borderId="4" xfId="0" applyNumberFormat="1" applyFont="1" applyFill="1" applyBorder="1"/>
    <xf numFmtId="165" fontId="23" fillId="6" borderId="6" xfId="0" applyNumberFormat="1" applyFont="1" applyFill="1" applyBorder="1"/>
    <xf numFmtId="165" fontId="23" fillId="6" borderId="7" xfId="0" applyNumberFormat="1" applyFont="1" applyFill="1" applyBorder="1"/>
    <xf numFmtId="9" fontId="6" fillId="0" borderId="0" xfId="0" applyNumberFormat="1" applyFont="1"/>
    <xf numFmtId="0" fontId="27" fillId="0" borderId="0" xfId="0" applyFont="1"/>
    <xf numFmtId="0" fontId="29" fillId="0" borderId="0" xfId="0" applyFont="1"/>
    <xf numFmtId="0" fontId="28" fillId="0" borderId="0" xfId="0" applyFont="1"/>
    <xf numFmtId="37" fontId="27" fillId="0" borderId="0" xfId="2" applyNumberFormat="1" applyFont="1"/>
    <xf numFmtId="0" fontId="26" fillId="0" borderId="12" xfId="0" applyFont="1" applyBorder="1"/>
    <xf numFmtId="0" fontId="30" fillId="0" borderId="16" xfId="0" applyFont="1" applyBorder="1" applyAlignment="1">
      <alignment horizontal="right"/>
    </xf>
    <xf numFmtId="0" fontId="6" fillId="0" borderId="17" xfId="0" applyFont="1" applyBorder="1"/>
    <xf numFmtId="0" fontId="6" fillId="0" borderId="18" xfId="0" applyFont="1" applyBorder="1"/>
    <xf numFmtId="0" fontId="6" fillId="0" borderId="19" xfId="0" applyFont="1" applyBorder="1"/>
    <xf numFmtId="0" fontId="16" fillId="0" borderId="0" xfId="0" applyFont="1"/>
    <xf numFmtId="165" fontId="31" fillId="0" borderId="0" xfId="0" applyNumberFormat="1" applyFont="1"/>
    <xf numFmtId="9" fontId="31" fillId="0" borderId="0" xfId="0" applyNumberFormat="1" applyFont="1"/>
    <xf numFmtId="0" fontId="35" fillId="7" borderId="22" xfId="0" applyFont="1" applyFill="1" applyBorder="1"/>
    <xf numFmtId="0" fontId="35" fillId="7" borderId="22" xfId="0" applyFont="1" applyFill="1" applyBorder="1" applyAlignment="1">
      <alignment horizontal="left" indent="3"/>
    </xf>
    <xf numFmtId="167" fontId="38" fillId="8" borderId="24" xfId="1" applyNumberFormat="1" applyFont="1" applyFill="1" applyBorder="1"/>
    <xf numFmtId="167" fontId="0" fillId="0" borderId="0" xfId="1" applyNumberFormat="1" applyFont="1"/>
    <xf numFmtId="169" fontId="35" fillId="5" borderId="23" xfId="1" applyNumberFormat="1" applyFont="1" applyFill="1" applyBorder="1" applyAlignment="1">
      <alignment horizontal="right"/>
    </xf>
    <xf numFmtId="169" fontId="35" fillId="5" borderId="23" xfId="0" applyNumberFormat="1" applyFont="1" applyFill="1" applyBorder="1" applyAlignment="1">
      <alignment horizontal="right"/>
    </xf>
    <xf numFmtId="9" fontId="0" fillId="0" borderId="0" xfId="3" applyFont="1"/>
    <xf numFmtId="0" fontId="34" fillId="0" borderId="0" xfId="0" applyFont="1"/>
    <xf numFmtId="170" fontId="25" fillId="5" borderId="0" xfId="0" applyNumberFormat="1" applyFont="1" applyFill="1"/>
    <xf numFmtId="0" fontId="35" fillId="0" borderId="0" xfId="0" applyFont="1"/>
    <xf numFmtId="1" fontId="0" fillId="0" borderId="0" xfId="0" applyNumberFormat="1" applyAlignment="1">
      <alignment horizontal="right"/>
    </xf>
    <xf numFmtId="41" fontId="0" fillId="0" borderId="0" xfId="0" applyNumberFormat="1" applyAlignment="1">
      <alignment horizontal="left"/>
    </xf>
    <xf numFmtId="165" fontId="35" fillId="5" borderId="0" xfId="0" applyNumberFormat="1" applyFont="1" applyFill="1"/>
    <xf numFmtId="0" fontId="6" fillId="0" borderId="25" xfId="0" applyFont="1" applyBorder="1" applyAlignment="1">
      <alignment horizontal="right"/>
    </xf>
    <xf numFmtId="0" fontId="27" fillId="0" borderId="26" xfId="0" applyFont="1" applyBorder="1"/>
    <xf numFmtId="41" fontId="34" fillId="0" borderId="0" xfId="0" applyNumberFormat="1" applyFont="1"/>
    <xf numFmtId="0" fontId="19" fillId="0" borderId="0" xfId="0" applyFont="1"/>
    <xf numFmtId="164" fontId="34" fillId="0" borderId="0" xfId="0" applyNumberFormat="1" applyFont="1"/>
    <xf numFmtId="165" fontId="34" fillId="0" borderId="0" xfId="0" applyNumberFormat="1" applyFont="1"/>
    <xf numFmtId="164" fontId="10" fillId="0" borderId="0" xfId="0" applyNumberFormat="1" applyFont="1"/>
    <xf numFmtId="1" fontId="39" fillId="2" borderId="0" xfId="0" applyNumberFormat="1" applyFont="1" applyFill="1"/>
    <xf numFmtId="164" fontId="40" fillId="2" borderId="0" xfId="0" applyNumberFormat="1" applyFont="1" applyFill="1"/>
    <xf numFmtId="1" fontId="41" fillId="2" borderId="0" xfId="0" applyNumberFormat="1" applyFont="1" applyFill="1"/>
    <xf numFmtId="167" fontId="39" fillId="5" borderId="0" xfId="1" applyNumberFormat="1" applyFont="1" applyFill="1"/>
    <xf numFmtId="165" fontId="39" fillId="2" borderId="0" xfId="3" applyNumberFormat="1" applyFont="1" applyFill="1"/>
    <xf numFmtId="165" fontId="42" fillId="0" borderId="0" xfId="0" applyNumberFormat="1" applyFont="1"/>
    <xf numFmtId="165" fontId="43" fillId="0" borderId="10" xfId="0" applyNumberFormat="1" applyFont="1" applyBorder="1"/>
    <xf numFmtId="165" fontId="22" fillId="6" borderId="0" xfId="0" applyNumberFormat="1" applyFont="1" applyFill="1"/>
    <xf numFmtId="165" fontId="43" fillId="0" borderId="8" xfId="0" applyNumberFormat="1" applyFont="1" applyBorder="1"/>
    <xf numFmtId="165" fontId="44" fillId="0" borderId="0" xfId="0" applyNumberFormat="1" applyFont="1"/>
    <xf numFmtId="165" fontId="22" fillId="0" borderId="0" xfId="0" applyNumberFormat="1" applyFont="1"/>
    <xf numFmtId="165" fontId="34" fillId="6" borderId="0" xfId="0" applyNumberFormat="1" applyFont="1" applyFill="1"/>
    <xf numFmtId="165" fontId="43" fillId="0" borderId="16" xfId="0" applyNumberFormat="1" applyFont="1" applyBorder="1"/>
    <xf numFmtId="165" fontId="19" fillId="5" borderId="0" xfId="0" applyNumberFormat="1" applyFont="1" applyFill="1"/>
    <xf numFmtId="165" fontId="43" fillId="0" borderId="20" xfId="0" applyNumberFormat="1" applyFont="1" applyBorder="1"/>
    <xf numFmtId="0" fontId="19" fillId="0" borderId="13" xfId="0" applyFont="1" applyBorder="1"/>
    <xf numFmtId="0" fontId="19" fillId="0" borderId="15" xfId="0" applyFont="1" applyBorder="1"/>
    <xf numFmtId="168" fontId="45" fillId="0" borderId="0" xfId="2" applyNumberFormat="1" applyFont="1"/>
    <xf numFmtId="165" fontId="34" fillId="6" borderId="5" xfId="0" applyNumberFormat="1" applyFont="1" applyFill="1" applyBorder="1"/>
    <xf numFmtId="165" fontId="43" fillId="0" borderId="11" xfId="0" applyNumberFormat="1" applyFont="1" applyBorder="1"/>
    <xf numFmtId="164" fontId="10" fillId="3" borderId="0" xfId="0" applyNumberFormat="1" applyFont="1" applyFill="1" applyAlignment="1">
      <alignment horizontal="right"/>
    </xf>
    <xf numFmtId="0" fontId="19" fillId="0" borderId="4" xfId="0" applyFont="1" applyBorder="1"/>
    <xf numFmtId="165" fontId="22" fillId="6" borderId="4" xfId="0" applyNumberFormat="1" applyFont="1" applyFill="1" applyBorder="1"/>
    <xf numFmtId="165" fontId="34" fillId="6" borderId="4" xfId="0" applyNumberFormat="1" applyFont="1" applyFill="1" applyBorder="1"/>
    <xf numFmtId="165" fontId="34" fillId="6" borderId="21" xfId="0" applyNumberFormat="1" applyFont="1" applyFill="1" applyBorder="1"/>
    <xf numFmtId="165" fontId="43" fillId="0" borderId="4" xfId="0" applyNumberFormat="1" applyFont="1" applyBorder="1"/>
    <xf numFmtId="0" fontId="45" fillId="0" borderId="0" xfId="0" applyFont="1"/>
    <xf numFmtId="0" fontId="19" fillId="0" borderId="0" xfId="0" applyFont="1" applyAlignment="1">
      <alignment horizontal="right"/>
    </xf>
    <xf numFmtId="9" fontId="19" fillId="0" borderId="0" xfId="0" applyNumberFormat="1" applyFont="1"/>
    <xf numFmtId="164" fontId="2" fillId="0" borderId="0" xfId="0" applyNumberFormat="1" applyFont="1"/>
  </cellXfs>
  <cellStyles count="4">
    <cellStyle name="Comma" xfId="1" builtinId="3"/>
    <cellStyle name="Comma [0]" xfId="2" builtinId="6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FiscTuning_Rw!$A$83</c:f>
              <c:strCache>
                <c:ptCount val="1"/>
                <c:pt idx="0">
                  <c:v>Grev in % of GDP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FiscTuning_Rw!$AE$81:$AP$81</c:f>
              <c:strCache>
                <c:ptCount val="12"/>
                <c:pt idx="0">
                  <c:v>2018/19</c:v>
                </c:pt>
                <c:pt idx="1">
                  <c:v>2019/20</c:v>
                </c:pt>
                <c:pt idx="2">
                  <c:v>2020/21</c:v>
                </c:pt>
                <c:pt idx="3">
                  <c:v>2021/22</c:v>
                </c:pt>
                <c:pt idx="4">
                  <c:v>2022/23</c:v>
                </c:pt>
                <c:pt idx="5">
                  <c:v>2023/24</c:v>
                </c:pt>
                <c:pt idx="6">
                  <c:v>2024/25</c:v>
                </c:pt>
                <c:pt idx="7">
                  <c:v>2025/2026</c:v>
                </c:pt>
                <c:pt idx="8">
                  <c:v>2026/2027</c:v>
                </c:pt>
                <c:pt idx="9">
                  <c:v>2027/2028</c:v>
                </c:pt>
                <c:pt idx="10">
                  <c:v>2028/2029</c:v>
                </c:pt>
                <c:pt idx="11">
                  <c:v>2029/2030</c:v>
                </c:pt>
              </c:strCache>
            </c:strRef>
          </c:cat>
          <c:val>
            <c:numRef>
              <c:f>FiscTuning_Rw!$AE$83:$AP$83</c:f>
              <c:numCache>
                <c:formatCode>0.0%</c:formatCode>
                <c:ptCount val="12"/>
                <c:pt idx="0">
                  <c:v>0.19014996739316092</c:v>
                </c:pt>
                <c:pt idx="1">
                  <c:v>0.18314644640250893</c:v>
                </c:pt>
                <c:pt idx="2">
                  <c:v>0.19117087620602016</c:v>
                </c:pt>
                <c:pt idx="3">
                  <c:v>0.18431901010679033</c:v>
                </c:pt>
                <c:pt idx="4">
                  <c:v>0.17014303403236622</c:v>
                </c:pt>
                <c:pt idx="5">
                  <c:v>0.16620417789665298</c:v>
                </c:pt>
                <c:pt idx="6">
                  <c:v>0.16546014323811886</c:v>
                </c:pt>
                <c:pt idx="7">
                  <c:v>0.17626652465618078</c:v>
                </c:pt>
                <c:pt idx="8">
                  <c:v>0.18383799968178346</c:v>
                </c:pt>
                <c:pt idx="9">
                  <c:v>0.18786735635011592</c:v>
                </c:pt>
                <c:pt idx="10">
                  <c:v>0.18985626615967205</c:v>
                </c:pt>
                <c:pt idx="11">
                  <c:v>0.19254613324113448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9E-49F2-9548-6D139F759BD5}"/>
            </c:ext>
          </c:extLst>
        </c:ser>
        <c:ser>
          <c:idx val="1"/>
          <c:order val="1"/>
          <c:tx>
            <c:strRef>
              <c:f>FiscTuning_Rw!$A$84</c:f>
              <c:strCache>
                <c:ptCount val="1"/>
                <c:pt idx="0">
                  <c:v>Gdem in % of GDP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FiscTuning_Rw!$AE$81:$AP$81</c:f>
              <c:strCache>
                <c:ptCount val="12"/>
                <c:pt idx="0">
                  <c:v>2018/19</c:v>
                </c:pt>
                <c:pt idx="1">
                  <c:v>2019/20</c:v>
                </c:pt>
                <c:pt idx="2">
                  <c:v>2020/21</c:v>
                </c:pt>
                <c:pt idx="3">
                  <c:v>2021/22</c:v>
                </c:pt>
                <c:pt idx="4">
                  <c:v>2022/23</c:v>
                </c:pt>
                <c:pt idx="5">
                  <c:v>2023/24</c:v>
                </c:pt>
                <c:pt idx="6">
                  <c:v>2024/25</c:v>
                </c:pt>
                <c:pt idx="7">
                  <c:v>2025/2026</c:v>
                </c:pt>
                <c:pt idx="8">
                  <c:v>2026/2027</c:v>
                </c:pt>
                <c:pt idx="9">
                  <c:v>2027/2028</c:v>
                </c:pt>
                <c:pt idx="10">
                  <c:v>2028/2029</c:v>
                </c:pt>
                <c:pt idx="11">
                  <c:v>2029/2030</c:v>
                </c:pt>
              </c:strCache>
            </c:strRef>
          </c:cat>
          <c:val>
            <c:numRef>
              <c:f>FiscTuning_Rw!$AE$84:$AP$84</c:f>
              <c:numCache>
                <c:formatCode>0.0%</c:formatCode>
                <c:ptCount val="12"/>
                <c:pt idx="0">
                  <c:v>0.26169584838513593</c:v>
                </c:pt>
                <c:pt idx="1">
                  <c:v>0.26811145968691313</c:v>
                </c:pt>
                <c:pt idx="2">
                  <c:v>0.27570065921784898</c:v>
                </c:pt>
                <c:pt idx="3">
                  <c:v>0.28377582490937286</c:v>
                </c:pt>
                <c:pt idx="4">
                  <c:v>0.24368260292576732</c:v>
                </c:pt>
                <c:pt idx="5">
                  <c:v>0.22612197687473534</c:v>
                </c:pt>
                <c:pt idx="6">
                  <c:v>0.20053719230054018</c:v>
                </c:pt>
                <c:pt idx="7">
                  <c:v>0.19544292641226998</c:v>
                </c:pt>
                <c:pt idx="8">
                  <c:v>0.19708559679766124</c:v>
                </c:pt>
                <c:pt idx="9">
                  <c:v>0.20500503475212281</c:v>
                </c:pt>
                <c:pt idx="10">
                  <c:v>0.20621080279034229</c:v>
                </c:pt>
                <c:pt idx="11">
                  <c:v>0.21126024180894573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9E-49F2-9548-6D139F759BD5}"/>
            </c:ext>
          </c:extLst>
        </c:ser>
        <c:ser>
          <c:idx val="5"/>
          <c:order val="2"/>
          <c:tx>
            <c:strRef>
              <c:f>FiscTuning_Rw!$A$88</c:f>
              <c:strCache>
                <c:ptCount val="1"/>
                <c:pt idx="0">
                  <c:v>Tot Spending in % of GDP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FiscTuning_Rw!$AE$81:$AP$81</c:f>
              <c:strCache>
                <c:ptCount val="12"/>
                <c:pt idx="0">
                  <c:v>2018/19</c:v>
                </c:pt>
                <c:pt idx="1">
                  <c:v>2019/20</c:v>
                </c:pt>
                <c:pt idx="2">
                  <c:v>2020/21</c:v>
                </c:pt>
                <c:pt idx="3">
                  <c:v>2021/22</c:v>
                </c:pt>
                <c:pt idx="4">
                  <c:v>2022/23</c:v>
                </c:pt>
                <c:pt idx="5">
                  <c:v>2023/24</c:v>
                </c:pt>
                <c:pt idx="6">
                  <c:v>2024/25</c:v>
                </c:pt>
                <c:pt idx="7">
                  <c:v>2025/2026</c:v>
                </c:pt>
                <c:pt idx="8">
                  <c:v>2026/2027</c:v>
                </c:pt>
                <c:pt idx="9">
                  <c:v>2027/2028</c:v>
                </c:pt>
                <c:pt idx="10">
                  <c:v>2028/2029</c:v>
                </c:pt>
                <c:pt idx="11">
                  <c:v>2029/2030</c:v>
                </c:pt>
              </c:strCache>
            </c:strRef>
          </c:cat>
          <c:val>
            <c:numRef>
              <c:f>FiscTuning_Rw!$AE$88:$AP$88</c:f>
              <c:numCache>
                <c:formatCode>0.0%</c:formatCode>
                <c:ptCount val="12"/>
                <c:pt idx="0">
                  <c:v>0.27139661636466372</c:v>
                </c:pt>
                <c:pt idx="1">
                  <c:v>0.29958819734316722</c:v>
                </c:pt>
                <c:pt idx="2">
                  <c:v>0.32366045585195247</c:v>
                </c:pt>
                <c:pt idx="3">
                  <c:v>0.33670696675965084</c:v>
                </c:pt>
                <c:pt idx="4">
                  <c:v>0.35185267843523671</c:v>
                </c:pt>
                <c:pt idx="5">
                  <c:v>0.29533472921204673</c:v>
                </c:pt>
                <c:pt idx="6">
                  <c:v>0.27432440534114733</c:v>
                </c:pt>
                <c:pt idx="7">
                  <c:v>0.26074866732077423</c:v>
                </c:pt>
                <c:pt idx="8">
                  <c:v>0.25459257192894552</c:v>
                </c:pt>
                <c:pt idx="9">
                  <c:v>0.25394326992505989</c:v>
                </c:pt>
                <c:pt idx="10">
                  <c:v>0.24174570649612137</c:v>
                </c:pt>
                <c:pt idx="11">
                  <c:v>0.24333466449664484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59E-49F2-9548-6D139F759BD5}"/>
            </c:ext>
          </c:extLst>
        </c:ser>
        <c:ser>
          <c:idx val="6"/>
          <c:order val="3"/>
          <c:tx>
            <c:strRef>
              <c:f>FiscTuning_Rw!$A$89</c:f>
              <c:strCache>
                <c:ptCount val="1"/>
                <c:pt idx="0">
                  <c:v>Deficit (Excl. Grants ) % of GDP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FiscTuning_Rw!$AE$81:$AP$81</c:f>
              <c:strCache>
                <c:ptCount val="12"/>
                <c:pt idx="0">
                  <c:v>2018/19</c:v>
                </c:pt>
                <c:pt idx="1">
                  <c:v>2019/20</c:v>
                </c:pt>
                <c:pt idx="2">
                  <c:v>2020/21</c:v>
                </c:pt>
                <c:pt idx="3">
                  <c:v>2021/22</c:v>
                </c:pt>
                <c:pt idx="4">
                  <c:v>2022/23</c:v>
                </c:pt>
                <c:pt idx="5">
                  <c:v>2023/24</c:v>
                </c:pt>
                <c:pt idx="6">
                  <c:v>2024/25</c:v>
                </c:pt>
                <c:pt idx="7">
                  <c:v>2025/2026</c:v>
                </c:pt>
                <c:pt idx="8">
                  <c:v>2026/2027</c:v>
                </c:pt>
                <c:pt idx="9">
                  <c:v>2027/2028</c:v>
                </c:pt>
                <c:pt idx="10">
                  <c:v>2028/2029</c:v>
                </c:pt>
                <c:pt idx="11">
                  <c:v>2029/2030</c:v>
                </c:pt>
              </c:strCache>
            </c:strRef>
          </c:cat>
          <c:val>
            <c:numRef>
              <c:f>FiscTuning_Rw!$AE$89:$AP$89</c:f>
              <c:numCache>
                <c:formatCode>0%</c:formatCode>
                <c:ptCount val="12"/>
                <c:pt idx="0">
                  <c:v>-0.10715311961052623</c:v>
                </c:pt>
                <c:pt idx="1">
                  <c:v>-0.13198602648404975</c:v>
                </c:pt>
                <c:pt idx="2">
                  <c:v>-0.13819197250543944</c:v>
                </c:pt>
                <c:pt idx="3">
                  <c:v>-0.1569715400252282</c:v>
                </c:pt>
                <c:pt idx="4">
                  <c:v>-0.11571481494483828</c:v>
                </c:pt>
                <c:pt idx="5">
                  <c:v>-0.10810529497455036</c:v>
                </c:pt>
                <c:pt idx="6" formatCode="0.0%">
                  <c:v>-8.3344978076517584E-2</c:v>
                </c:pt>
                <c:pt idx="7" formatCode="0.0%">
                  <c:v>-8.4482142664593501E-2</c:v>
                </c:pt>
                <c:pt idx="8" formatCode="0.0%">
                  <c:v>-7.0754572247162029E-2</c:v>
                </c:pt>
                <c:pt idx="9" formatCode="0.0%">
                  <c:v>-6.6075913574943954E-2</c:v>
                </c:pt>
                <c:pt idx="10" formatCode="0.0%">
                  <c:v>-5.1889440336449273E-2</c:v>
                </c:pt>
                <c:pt idx="11" formatCode="0.0%">
                  <c:v>-5.0788531255510416E-2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59E-49F2-9548-6D139F759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8695440"/>
        <c:axId val="906329424"/>
      </c:lineChart>
      <c:catAx>
        <c:axId val="103869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906329424"/>
        <c:crosses val="autoZero"/>
        <c:auto val="1"/>
        <c:lblAlgn val="ctr"/>
        <c:lblOffset val="100"/>
        <c:noMultiLvlLbl val="0"/>
      </c:catAx>
      <c:valAx>
        <c:axId val="90632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103869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555624</xdr:colOff>
      <xdr:row>81</xdr:row>
      <xdr:rowOff>28575</xdr:rowOff>
    </xdr:from>
    <xdr:to>
      <xdr:col>52</xdr:col>
      <xdr:colOff>619125</xdr:colOff>
      <xdr:row>100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1DE0E61-1D67-11A6-3D25-7B76930AC5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9A430-AD59-4202-B6E5-7E1D80E328BC}">
  <sheetPr>
    <pageSetUpPr fitToPage="1"/>
  </sheetPr>
  <dimension ref="A2:BC89"/>
  <sheetViews>
    <sheetView tabSelected="1" topLeftCell="A70" workbookViewId="0">
      <selection activeCell="A101" sqref="A101"/>
    </sheetView>
  </sheetViews>
  <sheetFormatPr defaultRowHeight="14.75" outlineLevelCol="1" x14ac:dyDescent="0.75"/>
  <cols>
    <col min="1" max="1" width="43.26953125" customWidth="1"/>
    <col min="2" max="25" width="8.7265625" hidden="1" customWidth="1" outlineLevel="1"/>
    <col min="26" max="26" width="10.6328125" customWidth="1" collapsed="1"/>
    <col min="27" max="30" width="10.6328125" customWidth="1"/>
    <col min="31" max="31" width="11.81640625" customWidth="1"/>
    <col min="32" max="34" width="8.6328125" style="3" customWidth="1"/>
    <col min="35" max="36" width="9.6328125" style="3" customWidth="1"/>
    <col min="37" max="37" width="9.6328125" style="112" customWidth="1"/>
    <col min="38" max="39" width="9.6328125" style="3" customWidth="1"/>
    <col min="40" max="40" width="9.6328125" style="112" customWidth="1"/>
    <col min="41" max="42" width="9.6328125" style="3" customWidth="1"/>
    <col min="43" max="43" width="9.6328125" style="112" customWidth="1"/>
    <col min="44" max="45" width="9.6328125" style="3" customWidth="1"/>
    <col min="46" max="46" width="9.6328125" style="112" customWidth="1"/>
    <col min="47" max="48" width="9.6328125" style="3" customWidth="1"/>
    <col min="49" max="49" width="9.6328125" style="112" customWidth="1"/>
    <col min="50" max="51" width="9.6328125" style="3" customWidth="1"/>
    <col min="52" max="52" width="9.6328125" style="112" customWidth="1"/>
    <col min="53" max="53" width="9.1796875" bestFit="1" customWidth="1"/>
  </cols>
  <sheetData>
    <row r="2" spans="1:52" x14ac:dyDescent="0.75">
      <c r="A2" t="s">
        <v>0</v>
      </c>
    </row>
    <row r="5" spans="1:52" s="8" customFormat="1" ht="11.5" x14ac:dyDescent="0.5">
      <c r="A5" s="4" t="s">
        <v>1</v>
      </c>
      <c r="B5" s="5"/>
      <c r="C5" s="5"/>
      <c r="D5" s="6" t="s">
        <v>2</v>
      </c>
      <c r="E5" s="6" t="s">
        <v>3</v>
      </c>
      <c r="F5" s="6" t="s">
        <v>3</v>
      </c>
      <c r="G5" s="6" t="s">
        <v>3</v>
      </c>
      <c r="H5" s="6" t="s">
        <v>4</v>
      </c>
      <c r="I5" s="6" t="s">
        <v>4</v>
      </c>
      <c r="J5" s="6" t="s">
        <v>4</v>
      </c>
      <c r="K5" s="6" t="s">
        <v>5</v>
      </c>
      <c r="L5" s="6" t="s">
        <v>5</v>
      </c>
      <c r="M5" s="6" t="s">
        <v>5</v>
      </c>
      <c r="N5" s="6" t="s">
        <v>6</v>
      </c>
      <c r="O5" s="6" t="s">
        <v>6</v>
      </c>
      <c r="P5" s="7" t="s">
        <v>6</v>
      </c>
      <c r="Q5" s="6" t="s">
        <v>7</v>
      </c>
      <c r="R5" s="6" t="s">
        <v>7</v>
      </c>
      <c r="S5" s="7" t="s">
        <v>7</v>
      </c>
      <c r="T5" s="7" t="s">
        <v>8</v>
      </c>
      <c r="U5" s="7" t="s">
        <v>8</v>
      </c>
      <c r="V5" s="7" t="s">
        <v>8</v>
      </c>
      <c r="W5" s="7" t="s">
        <v>9</v>
      </c>
      <c r="X5" s="7" t="s">
        <v>9</v>
      </c>
      <c r="Y5" s="7" t="s">
        <v>9</v>
      </c>
      <c r="Z5" s="7" t="s">
        <v>10</v>
      </c>
      <c r="AA5" s="7" t="s">
        <v>10</v>
      </c>
      <c r="AB5" s="7" t="s">
        <v>10</v>
      </c>
      <c r="AC5" s="7" t="s">
        <v>11</v>
      </c>
      <c r="AD5" s="7" t="s">
        <v>11</v>
      </c>
      <c r="AE5" s="7" t="s">
        <v>11</v>
      </c>
      <c r="AF5" s="7" t="s">
        <v>12</v>
      </c>
      <c r="AG5" s="7" t="s">
        <v>12</v>
      </c>
      <c r="AH5" s="7" t="s">
        <v>12</v>
      </c>
      <c r="AI5" s="7" t="s">
        <v>13</v>
      </c>
      <c r="AJ5" s="7" t="s">
        <v>13</v>
      </c>
      <c r="AK5" s="7" t="s">
        <v>13</v>
      </c>
      <c r="AL5" s="7" t="s">
        <v>14</v>
      </c>
      <c r="AM5" s="7" t="s">
        <v>14</v>
      </c>
      <c r="AN5" s="7" t="s">
        <v>14</v>
      </c>
      <c r="AO5" s="7" t="s">
        <v>15</v>
      </c>
      <c r="AP5" s="7" t="s">
        <v>15</v>
      </c>
      <c r="AQ5" s="7" t="s">
        <v>15</v>
      </c>
      <c r="AR5" s="7" t="s">
        <v>16</v>
      </c>
      <c r="AS5" s="7" t="s">
        <v>16</v>
      </c>
      <c r="AT5" s="7" t="s">
        <v>16</v>
      </c>
      <c r="AU5" s="7" t="s">
        <v>17</v>
      </c>
      <c r="AV5" s="7" t="s">
        <v>17</v>
      </c>
      <c r="AW5" s="7" t="s">
        <v>17</v>
      </c>
      <c r="AX5" s="7" t="s">
        <v>18</v>
      </c>
      <c r="AY5" s="7" t="s">
        <v>18</v>
      </c>
      <c r="AZ5" s="7" t="s">
        <v>18</v>
      </c>
    </row>
    <row r="6" spans="1:52" ht="16" x14ac:dyDescent="0.8">
      <c r="A6" s="9" t="s">
        <v>19</v>
      </c>
      <c r="B6" s="10" t="s">
        <v>20</v>
      </c>
      <c r="C6" s="10" t="s">
        <v>21</v>
      </c>
      <c r="D6" s="10" t="s">
        <v>22</v>
      </c>
      <c r="E6" s="10" t="s">
        <v>20</v>
      </c>
      <c r="F6" s="10" t="s">
        <v>21</v>
      </c>
      <c r="G6" s="10" t="s">
        <v>23</v>
      </c>
      <c r="H6" s="10" t="s">
        <v>24</v>
      </c>
      <c r="I6" s="10" t="s">
        <v>25</v>
      </c>
      <c r="J6" s="10" t="s">
        <v>23</v>
      </c>
      <c r="K6" s="10" t="s">
        <v>20</v>
      </c>
      <c r="L6" s="10" t="s">
        <v>21</v>
      </c>
      <c r="M6" s="10" t="s">
        <v>22</v>
      </c>
      <c r="N6" s="10" t="s">
        <v>20</v>
      </c>
      <c r="O6" s="10" t="s">
        <v>21</v>
      </c>
      <c r="P6" s="11" t="s">
        <v>22</v>
      </c>
      <c r="Q6" s="10" t="s">
        <v>20</v>
      </c>
      <c r="R6" s="10" t="s">
        <v>21</v>
      </c>
      <c r="S6" s="11" t="s">
        <v>22</v>
      </c>
      <c r="T6" s="10" t="s">
        <v>20</v>
      </c>
      <c r="U6" s="10" t="s">
        <v>21</v>
      </c>
      <c r="V6" s="11" t="s">
        <v>22</v>
      </c>
      <c r="W6" s="11" t="s">
        <v>20</v>
      </c>
      <c r="X6" s="11" t="s">
        <v>21</v>
      </c>
      <c r="Y6" s="11" t="s">
        <v>22</v>
      </c>
      <c r="Z6" s="11" t="s">
        <v>20</v>
      </c>
      <c r="AA6" s="11" t="s">
        <v>21</v>
      </c>
      <c r="AB6" s="11" t="s">
        <v>22</v>
      </c>
      <c r="AC6" s="11" t="s">
        <v>20</v>
      </c>
      <c r="AD6" s="11" t="s">
        <v>21</v>
      </c>
      <c r="AE6" s="11" t="s">
        <v>22</v>
      </c>
      <c r="AF6" s="12" t="s">
        <v>20</v>
      </c>
      <c r="AG6" s="12" t="s">
        <v>21</v>
      </c>
      <c r="AH6" s="12" t="s">
        <v>22</v>
      </c>
      <c r="AI6" s="12" t="s">
        <v>20</v>
      </c>
      <c r="AJ6" s="12" t="s">
        <v>21</v>
      </c>
      <c r="AK6" s="12" t="s">
        <v>22</v>
      </c>
      <c r="AL6" s="12" t="s">
        <v>20</v>
      </c>
      <c r="AM6" s="12" t="s">
        <v>21</v>
      </c>
      <c r="AN6" s="12" t="s">
        <v>22</v>
      </c>
      <c r="AO6" s="12" t="s">
        <v>20</v>
      </c>
      <c r="AP6" s="12" t="s">
        <v>21</v>
      </c>
      <c r="AQ6" s="12" t="s">
        <v>22</v>
      </c>
      <c r="AR6" s="12" t="s">
        <v>20</v>
      </c>
      <c r="AS6" s="12" t="s">
        <v>21</v>
      </c>
      <c r="AT6" s="12" t="s">
        <v>22</v>
      </c>
      <c r="AU6" s="12" t="s">
        <v>20</v>
      </c>
      <c r="AV6" s="12" t="s">
        <v>21</v>
      </c>
      <c r="AW6" s="12" t="s">
        <v>22</v>
      </c>
      <c r="AX6" s="12" t="s">
        <v>20</v>
      </c>
      <c r="AY6" s="12" t="s">
        <v>21</v>
      </c>
      <c r="AZ6" s="12" t="s">
        <v>22</v>
      </c>
    </row>
    <row r="7" spans="1:52" ht="16" x14ac:dyDescent="0.8">
      <c r="A7" s="13" t="s">
        <v>26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1"/>
      <c r="Q7" s="10"/>
      <c r="R7" s="10"/>
      <c r="S7" s="11"/>
      <c r="T7" s="10"/>
      <c r="U7" s="10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2"/>
      <c r="AG7" s="12"/>
      <c r="AH7" s="12"/>
      <c r="AI7" s="14"/>
      <c r="AJ7" s="14"/>
      <c r="AK7" s="113">
        <v>20033.689823079447</v>
      </c>
      <c r="AL7" s="14">
        <v>11326.738119159327</v>
      </c>
      <c r="AM7" s="14">
        <v>11326.738119159327</v>
      </c>
      <c r="AN7" s="113">
        <v>22653.476238318653</v>
      </c>
      <c r="AO7" s="14">
        <v>12781.239907852294</v>
      </c>
      <c r="AP7" s="14">
        <v>12781.239907852294</v>
      </c>
      <c r="AQ7" s="113">
        <v>25562.479815704588</v>
      </c>
      <c r="AR7" s="14">
        <v>14387.536018309578</v>
      </c>
      <c r="AS7" s="14">
        <v>14387.536018309578</v>
      </c>
      <c r="AT7" s="113">
        <v>28775.072036619156</v>
      </c>
      <c r="AU7" s="14">
        <v>16166.704197489691</v>
      </c>
      <c r="AV7" s="14">
        <v>16166.704197489691</v>
      </c>
      <c r="AW7" s="113">
        <v>32333.408394979382</v>
      </c>
      <c r="AX7" s="14">
        <v>18163.761804602887</v>
      </c>
      <c r="AY7" s="14">
        <v>18163.761804602887</v>
      </c>
      <c r="AZ7" s="113">
        <v>36327.523609205775</v>
      </c>
    </row>
    <row r="8" spans="1:52" ht="16" x14ac:dyDescent="0.8">
      <c r="A8" s="13" t="s">
        <v>27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1"/>
      <c r="Q8" s="10"/>
      <c r="R8" s="10"/>
      <c r="S8" s="11"/>
      <c r="T8" s="10"/>
      <c r="U8" s="10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2"/>
      <c r="AG8" s="12"/>
      <c r="AH8" s="12"/>
      <c r="AI8" s="15"/>
      <c r="AJ8" s="15"/>
      <c r="AK8" s="114">
        <v>0.18265969901885684</v>
      </c>
      <c r="AL8" s="15">
        <v>0.18202180406841192</v>
      </c>
      <c r="AM8" s="15">
        <v>0.19342862639163508</v>
      </c>
      <c r="AN8" s="114">
        <v>0.1877252152300235</v>
      </c>
      <c r="AO8" s="15">
        <v>0.19131015743891358</v>
      </c>
      <c r="AP8" s="15">
        <v>0.20347286117005281</v>
      </c>
      <c r="AQ8" s="114">
        <v>0.19739150930448318</v>
      </c>
      <c r="AR8" s="15">
        <v>0.19639922020301412</v>
      </c>
      <c r="AS8" s="15">
        <v>0.20882982480919066</v>
      </c>
      <c r="AT8" s="114">
        <v>0.20261452250610237</v>
      </c>
      <c r="AU8" s="15">
        <v>0.19848358609826458</v>
      </c>
      <c r="AV8" s="15">
        <v>0.21105666189556113</v>
      </c>
      <c r="AW8" s="114">
        <v>0.20477012399691286</v>
      </c>
      <c r="AX8" s="15">
        <v>0.20026130698200914</v>
      </c>
      <c r="AY8" s="15">
        <v>0.21296624659299274</v>
      </c>
      <c r="AZ8" s="114">
        <v>0.20661377678750092</v>
      </c>
    </row>
    <row r="9" spans="1:52" ht="16" x14ac:dyDescent="0.8">
      <c r="A9" s="13" t="s">
        <v>28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1"/>
      <c r="Q9" s="10"/>
      <c r="R9" s="10"/>
      <c r="S9" s="11"/>
      <c r="T9" s="10"/>
      <c r="U9" s="10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2"/>
      <c r="AG9" s="12"/>
      <c r="AH9" s="12"/>
      <c r="AI9" s="15"/>
      <c r="AJ9" s="15"/>
      <c r="AK9" s="114">
        <v>0.21618191762249483</v>
      </c>
      <c r="AL9" s="15">
        <v>0.22207929529235795</v>
      </c>
      <c r="AM9" s="15">
        <v>0.18220563884602761</v>
      </c>
      <c r="AN9" s="114">
        <v>0.20214246706919278</v>
      </c>
      <c r="AO9" s="15">
        <v>0.23085905359127892</v>
      </c>
      <c r="AP9" s="15">
        <v>0.19146428712535027</v>
      </c>
      <c r="AQ9" s="114">
        <v>0.2111616703583146</v>
      </c>
      <c r="AR9" s="15">
        <v>0.1708666529724199</v>
      </c>
      <c r="AS9" s="15">
        <v>0.14106344180139738</v>
      </c>
      <c r="AT9" s="114">
        <v>0.21736809529944531</v>
      </c>
      <c r="AU9" s="15">
        <v>0.16912216075845865</v>
      </c>
      <c r="AV9" s="15">
        <v>0.14565705261025019</v>
      </c>
      <c r="AW9" s="114">
        <v>0.21938605929611971</v>
      </c>
      <c r="AX9" s="15">
        <v>0.16615357804585285</v>
      </c>
      <c r="AY9" s="15">
        <v>0.14627159152842076</v>
      </c>
      <c r="AZ9" s="114">
        <v>0.21652717851044984</v>
      </c>
    </row>
    <row r="10" spans="1:52" ht="16" x14ac:dyDescent="0.8">
      <c r="A10" s="13" t="s">
        <v>29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1"/>
      <c r="Q10" s="10"/>
      <c r="R10" s="10"/>
      <c r="S10" s="11"/>
      <c r="T10" s="10"/>
      <c r="U10" s="10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2"/>
      <c r="AG10" s="12"/>
      <c r="AH10" s="12"/>
      <c r="AI10" s="15"/>
      <c r="AJ10" s="15"/>
      <c r="AK10" s="114">
        <v>5.2313276029538544E-2</v>
      </c>
      <c r="AL10" s="15">
        <v>0.12451984317227541</v>
      </c>
      <c r="AM10" s="15">
        <v>4.5857654055867912E-2</v>
      </c>
      <c r="AN10" s="114">
        <v>8.5188748614071663E-2</v>
      </c>
      <c r="AO10" s="15">
        <v>7.4739109667772821E-2</v>
      </c>
      <c r="AP10" s="15">
        <v>5.8352899484848814E-2</v>
      </c>
      <c r="AQ10" s="114">
        <v>6.6546004576310824E-2</v>
      </c>
      <c r="AR10" s="15">
        <v>4.7993212971092845E-2</v>
      </c>
      <c r="AS10" s="15">
        <v>4.5252519773348869E-2</v>
      </c>
      <c r="AT10" s="114">
        <v>4.6622866372220864E-2</v>
      </c>
      <c r="AU10" s="15">
        <v>4.1204502576226411E-2</v>
      </c>
      <c r="AV10" s="15">
        <v>4.3614820920078026E-2</v>
      </c>
      <c r="AW10" s="114">
        <v>4.2409661748152208E-2</v>
      </c>
      <c r="AX10" s="15">
        <v>3.8923052132281609E-2</v>
      </c>
      <c r="AY10" s="15">
        <v>5.3553863939848227E-2</v>
      </c>
      <c r="AZ10" s="114">
        <v>4.6238458036064918E-2</v>
      </c>
    </row>
    <row r="11" spans="1:52" ht="16" x14ac:dyDescent="0.8">
      <c r="A11" s="13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1"/>
      <c r="Q11" s="10"/>
      <c r="R11" s="10"/>
      <c r="S11" s="11"/>
      <c r="T11" s="10"/>
      <c r="U11" s="10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2"/>
      <c r="AG11" s="12"/>
      <c r="AH11" s="12"/>
      <c r="AI11" s="15"/>
      <c r="AJ11" s="15"/>
      <c r="AK11" s="114"/>
      <c r="AL11" s="15"/>
      <c r="AM11" s="15"/>
      <c r="AN11" s="114"/>
      <c r="AO11" s="15"/>
      <c r="AP11" s="15"/>
      <c r="AQ11" s="114"/>
      <c r="AR11" s="15"/>
      <c r="AS11" s="15"/>
      <c r="AT11" s="114"/>
      <c r="AU11" s="15"/>
      <c r="AV11" s="15"/>
      <c r="AW11" s="114"/>
      <c r="AX11" s="15"/>
      <c r="AY11" s="15"/>
      <c r="AZ11" s="114"/>
    </row>
    <row r="12" spans="1:52" ht="16" x14ac:dyDescent="0.8">
      <c r="A12" s="13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1"/>
      <c r="Q12" s="10"/>
      <c r="R12" s="10"/>
      <c r="S12" s="11"/>
      <c r="T12" s="10"/>
      <c r="U12" s="10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2"/>
      <c r="AG12" s="12"/>
      <c r="AH12" s="12"/>
      <c r="AI12" s="15"/>
      <c r="AJ12" s="15"/>
      <c r="AK12" s="114"/>
      <c r="AL12" s="15"/>
      <c r="AM12" s="15"/>
      <c r="AN12" s="114"/>
      <c r="AO12" s="15"/>
      <c r="AP12" s="15"/>
      <c r="AQ12" s="114"/>
      <c r="AR12" s="15"/>
      <c r="AS12" s="15"/>
      <c r="AT12" s="114"/>
      <c r="AU12" s="15"/>
      <c r="AV12" s="15"/>
      <c r="AW12" s="114"/>
      <c r="AX12" s="15"/>
      <c r="AY12" s="15"/>
      <c r="AZ12" s="114"/>
    </row>
    <row r="13" spans="1:52" ht="16" x14ac:dyDescent="0.8">
      <c r="A13" s="13" t="s">
        <v>30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1"/>
      <c r="Q13" s="10"/>
      <c r="R13" s="10"/>
      <c r="S13" s="11"/>
      <c r="T13" s="10"/>
      <c r="U13" s="10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2"/>
      <c r="AG13" s="12"/>
      <c r="AH13" s="12"/>
      <c r="AI13" s="15"/>
      <c r="AJ13" s="15"/>
      <c r="AK13" s="114">
        <v>0.26849519365203339</v>
      </c>
      <c r="AL13" s="15">
        <v>0.34659913846463342</v>
      </c>
      <c r="AM13" s="15">
        <v>0.22806329290189545</v>
      </c>
      <c r="AN13" s="114">
        <v>0.28733121568326442</v>
      </c>
      <c r="AO13" s="15">
        <v>0.30559536781284657</v>
      </c>
      <c r="AP13" s="15">
        <v>0.24981998205640421</v>
      </c>
      <c r="AQ13" s="114">
        <v>0.27770767493462539</v>
      </c>
      <c r="AR13" s="15">
        <v>0.10068970512346855</v>
      </c>
      <c r="AS13" s="15">
        <v>8.1983015152663943E-2</v>
      </c>
      <c r="AT13" s="114">
        <v>0.26399096167166619</v>
      </c>
      <c r="AU13" s="15">
        <v>9.5806708468755788E-2</v>
      </c>
      <c r="AV13" s="15">
        <v>8.7007920333264793E-2</v>
      </c>
      <c r="AW13" s="114">
        <v>0.26179572104427185</v>
      </c>
      <c r="AX13" s="15">
        <v>9.3361461533231785E-2</v>
      </c>
      <c r="AY13" s="15">
        <v>8.6420688737840298E-2</v>
      </c>
      <c r="AZ13" s="114">
        <v>0.2627656365465148</v>
      </c>
    </row>
    <row r="14" spans="1:52" ht="16" x14ac:dyDescent="0.8">
      <c r="A14" s="13" t="s">
        <v>31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1"/>
      <c r="Q14" s="10"/>
      <c r="R14" s="10"/>
      <c r="S14" s="11"/>
      <c r="T14" s="10"/>
      <c r="U14" s="10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2"/>
      <c r="AG14" s="12"/>
      <c r="AH14" s="12"/>
      <c r="AI14" s="15"/>
      <c r="AJ14" s="15"/>
      <c r="AK14" s="114">
        <v>-8.5835494633176551E-2</v>
      </c>
      <c r="AL14" s="15">
        <v>-0.16457733439622149</v>
      </c>
      <c r="AM14" s="15">
        <v>-3.4634666510260363E-2</v>
      </c>
      <c r="AN14" s="114">
        <v>-9.9606000453240931E-2</v>
      </c>
      <c r="AO14" s="15">
        <v>-0.11428521037393302</v>
      </c>
      <c r="AP14" s="15">
        <v>-4.6347120886351449E-2</v>
      </c>
      <c r="AQ14" s="114">
        <v>-8.0316165630142225E-2</v>
      </c>
      <c r="AR14" s="15">
        <v>-8.7811086312425041E-2</v>
      </c>
      <c r="AS14" s="15">
        <v>-3.4941792018702664E-2</v>
      </c>
      <c r="AT14" s="114">
        <v>-6.1376439165563845E-2</v>
      </c>
      <c r="AU14" s="15">
        <v>-7.7781240023852449E-2</v>
      </c>
      <c r="AV14" s="15">
        <v>-3.6269954070865654E-2</v>
      </c>
      <c r="AW14" s="114">
        <v>-5.7025597047359065E-2</v>
      </c>
      <c r="AX14" s="15">
        <v>-6.8838841852160104E-2</v>
      </c>
      <c r="AY14" s="15">
        <v>-4.346487766586761E-2</v>
      </c>
      <c r="AZ14" s="114">
        <v>-5.6151859759013864E-2</v>
      </c>
    </row>
    <row r="15" spans="1:52" ht="16" x14ac:dyDescent="0.8">
      <c r="A15" s="13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1"/>
      <c r="Q15" s="10"/>
      <c r="R15" s="10"/>
      <c r="S15" s="11"/>
      <c r="T15" s="10"/>
      <c r="U15" s="10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2"/>
      <c r="AG15" s="12"/>
      <c r="AH15" s="12"/>
      <c r="AI15" s="15"/>
      <c r="AJ15" s="15"/>
      <c r="AK15" s="114"/>
      <c r="AL15" s="15"/>
      <c r="AM15" s="15"/>
      <c r="AN15" s="114"/>
      <c r="AO15" s="15"/>
      <c r="AP15" s="15"/>
      <c r="AQ15" s="114"/>
      <c r="AR15" s="15"/>
      <c r="AS15" s="15"/>
      <c r="AT15" s="114"/>
      <c r="AU15" s="15"/>
      <c r="AV15" s="15"/>
      <c r="AW15" s="114"/>
      <c r="AX15" s="12"/>
      <c r="AY15" s="12"/>
      <c r="AZ15" s="12"/>
    </row>
    <row r="16" spans="1:52" ht="13.5" customHeight="1" x14ac:dyDescent="0.8">
      <c r="A16" s="9" t="s">
        <v>32</v>
      </c>
      <c r="B16" s="11"/>
      <c r="C16" s="16"/>
      <c r="D16" s="17"/>
      <c r="E16" s="16"/>
      <c r="F16" s="16"/>
      <c r="G16" s="17"/>
      <c r="H16" s="11"/>
      <c r="I16" s="16"/>
      <c r="J16" s="17"/>
      <c r="K16" s="16"/>
      <c r="L16" s="16"/>
      <c r="M16" s="17"/>
      <c r="N16" s="16"/>
      <c r="O16" s="16"/>
      <c r="P16" s="17"/>
      <c r="Q16" s="18"/>
      <c r="R16" s="18"/>
      <c r="S16" s="17"/>
      <c r="T16" s="18"/>
      <c r="U16" s="18"/>
      <c r="V16" s="17"/>
      <c r="W16" s="18"/>
      <c r="X16" s="18"/>
      <c r="Y16" s="17"/>
      <c r="Z16" s="19"/>
      <c r="AA16" s="18"/>
      <c r="AB16" s="17"/>
      <c r="AC16" s="18"/>
      <c r="AD16" s="18"/>
      <c r="AE16" s="17"/>
      <c r="AF16" s="20"/>
      <c r="AG16" s="20"/>
      <c r="AH16" s="21"/>
      <c r="AI16" s="20"/>
      <c r="AJ16" s="20"/>
      <c r="AK16" s="136"/>
      <c r="AL16" s="22"/>
      <c r="AM16" s="22"/>
      <c r="AN16" s="136"/>
      <c r="AO16" s="22"/>
      <c r="AP16" s="22"/>
      <c r="AQ16" s="136"/>
      <c r="AR16" s="22"/>
      <c r="AS16" s="22"/>
      <c r="AT16" s="115"/>
      <c r="AU16" s="22"/>
      <c r="AV16" s="22"/>
      <c r="AW16" s="115"/>
      <c r="AX16" s="22"/>
      <c r="AY16" s="22"/>
      <c r="AZ16" s="115"/>
    </row>
    <row r="17" spans="1:52" ht="16" x14ac:dyDescent="0.8">
      <c r="A17" s="13" t="s">
        <v>33</v>
      </c>
      <c r="B17" s="23">
        <v>408.96122529907126</v>
      </c>
      <c r="C17" s="23">
        <v>455.51260626260114</v>
      </c>
      <c r="D17" s="23">
        <v>864.47383156167234</v>
      </c>
      <c r="E17" s="23">
        <v>448.59583340744371</v>
      </c>
      <c r="F17" s="23">
        <v>554.18346017255112</v>
      </c>
      <c r="G17" s="23">
        <v>1002.7792935799948</v>
      </c>
      <c r="H17" s="23">
        <v>541.30664534152311</v>
      </c>
      <c r="I17" s="23">
        <v>626.65685231089913</v>
      </c>
      <c r="J17" s="23">
        <v>1167.9634976524221</v>
      </c>
      <c r="K17" s="23">
        <v>599.38320158507076</v>
      </c>
      <c r="L17" s="23">
        <v>686.1966439603666</v>
      </c>
      <c r="M17" s="23">
        <v>1285.5798455454374</v>
      </c>
      <c r="N17" s="23">
        <v>690.94483308776034</v>
      </c>
      <c r="O17" s="23">
        <v>770.55892283457592</v>
      </c>
      <c r="P17" s="23">
        <v>1461.5037559223363</v>
      </c>
      <c r="Q17" s="23">
        <v>805.87437132404148</v>
      </c>
      <c r="R17" s="23">
        <v>864.40294225748414</v>
      </c>
      <c r="S17" s="23">
        <v>1670.2773135815255</v>
      </c>
      <c r="T17" s="23">
        <v>907.27158025004235</v>
      </c>
      <c r="U17" s="23">
        <v>848.13167894538265</v>
      </c>
      <c r="V17" s="23">
        <v>1755.4032591954251</v>
      </c>
      <c r="W17" s="23">
        <v>971.59939653109495</v>
      </c>
      <c r="X17" s="23">
        <v>1035.5036327559105</v>
      </c>
      <c r="Y17" s="23">
        <v>2007.1030292870055</v>
      </c>
      <c r="Z17" s="23">
        <v>1051.1631436074811</v>
      </c>
      <c r="AA17" s="23">
        <v>1226.8355023023412</v>
      </c>
      <c r="AB17" s="23">
        <v>2277.9986459098222</v>
      </c>
      <c r="AC17" s="23">
        <v>1257.2104364144536</v>
      </c>
      <c r="AD17" s="23">
        <v>1431.0495012969325</v>
      </c>
      <c r="AE17" s="23">
        <v>2688.2599377113861</v>
      </c>
      <c r="AF17" s="24">
        <v>1469.1922849323196</v>
      </c>
      <c r="AG17" s="24">
        <v>1584.144667207092</v>
      </c>
      <c r="AH17" s="24">
        <v>3053.3369521394116</v>
      </c>
      <c r="AI17" s="25">
        <v>1783.2662538365616</v>
      </c>
      <c r="AJ17" s="25">
        <v>1776.112347501851</v>
      </c>
      <c r="AK17" s="116">
        <v>3559.3786013384124</v>
      </c>
      <c r="AL17" s="25">
        <v>2113.629785496747</v>
      </c>
      <c r="AM17" s="25">
        <v>2189.6457710714726</v>
      </c>
      <c r="AN17" s="116">
        <v>4303.2755565682201</v>
      </c>
      <c r="AO17" s="25">
        <v>2461.7400413012797</v>
      </c>
      <c r="AP17" s="25">
        <v>2629.0879415666591</v>
      </c>
      <c r="AQ17" s="116">
        <v>5090.8279828679388</v>
      </c>
      <c r="AR17" s="25">
        <v>2836.4546567568095</v>
      </c>
      <c r="AS17" s="25">
        <v>3014.929216324671</v>
      </c>
      <c r="AT17" s="116">
        <v>5851.3838730814805</v>
      </c>
      <c r="AU17" s="25">
        <v>3213.1023980983127</v>
      </c>
      <c r="AV17" s="25">
        <v>3415.513685793173</v>
      </c>
      <c r="AW17" s="116">
        <v>6628.6160838914857</v>
      </c>
      <c r="AX17" s="25">
        <v>3654.6679300984265</v>
      </c>
      <c r="AY17" s="25">
        <v>3884.4148308322015</v>
      </c>
      <c r="AZ17" s="116">
        <v>7539.082760930628</v>
      </c>
    </row>
    <row r="18" spans="1:52" ht="16" x14ac:dyDescent="0.8">
      <c r="A18" s="13" t="s">
        <v>34</v>
      </c>
      <c r="B18" s="23">
        <v>647.78110126558602</v>
      </c>
      <c r="C18" s="23">
        <v>769.20021048579292</v>
      </c>
      <c r="D18" s="23">
        <v>1416.9813117513791</v>
      </c>
      <c r="E18" s="23">
        <v>699.91168160546022</v>
      </c>
      <c r="F18" s="23">
        <v>784.2894369119781</v>
      </c>
      <c r="G18" s="23">
        <v>1484.2011185174383</v>
      </c>
      <c r="H18" s="23">
        <v>774.23100290804916</v>
      </c>
      <c r="I18" s="23">
        <v>824.34013653765351</v>
      </c>
      <c r="J18" s="23">
        <v>1598.5711394457026</v>
      </c>
      <c r="K18" s="23">
        <v>881.66307670777906</v>
      </c>
      <c r="L18" s="23">
        <v>866.56550559146876</v>
      </c>
      <c r="M18" s="23">
        <v>1748.2285822992478</v>
      </c>
      <c r="N18" s="23">
        <v>916.79628874819002</v>
      </c>
      <c r="O18" s="23">
        <v>984.61015095281005</v>
      </c>
      <c r="P18" s="23">
        <v>1901.4064397010002</v>
      </c>
      <c r="Q18" s="23">
        <v>988.5211587925736</v>
      </c>
      <c r="R18" s="23">
        <v>1292.6815515806561</v>
      </c>
      <c r="S18" s="23">
        <v>2281.2027103732298</v>
      </c>
      <c r="T18" s="23">
        <v>1240.3291454495475</v>
      </c>
      <c r="U18" s="23">
        <v>1276.1650151718191</v>
      </c>
      <c r="V18" s="23">
        <v>2516.4941606213665</v>
      </c>
      <c r="W18" s="23">
        <v>1445.4338677308456</v>
      </c>
      <c r="X18" s="23">
        <v>1386.0119024364635</v>
      </c>
      <c r="Y18" s="23">
        <v>2831.4457701673091</v>
      </c>
      <c r="Z18" s="23">
        <v>1576.9416250105817</v>
      </c>
      <c r="AA18" s="23">
        <v>1824.9629640029807</v>
      </c>
      <c r="AB18" s="23">
        <v>3401.9045890135621</v>
      </c>
      <c r="AC18" s="23">
        <v>1706.2754706069873</v>
      </c>
      <c r="AD18" s="23">
        <v>2020.3625759367721</v>
      </c>
      <c r="AE18" s="23">
        <v>3726.6380465437596</v>
      </c>
      <c r="AF18" s="24">
        <v>1829.0395976632849</v>
      </c>
      <c r="AG18" s="24">
        <v>2324.8211175256038</v>
      </c>
      <c r="AH18" s="24">
        <v>4153.8607151888882</v>
      </c>
      <c r="AI18" s="25">
        <v>2224.8359366580507</v>
      </c>
      <c r="AJ18" s="25">
        <v>2089.1201441111698</v>
      </c>
      <c r="AK18" s="116">
        <v>4313.9560807692205</v>
      </c>
      <c r="AL18" s="25">
        <v>2418.5871070440389</v>
      </c>
      <c r="AM18" s="25">
        <v>2352.8507458017857</v>
      </c>
      <c r="AN18" s="116">
        <v>4771.4378528458246</v>
      </c>
      <c r="AO18" s="25">
        <v>3009.9144128505695</v>
      </c>
      <c r="AP18" s="25">
        <v>2447.765027387496</v>
      </c>
      <c r="AQ18" s="116">
        <v>5457.6794402380656</v>
      </c>
      <c r="AR18" s="25">
        <v>3459.1943122948369</v>
      </c>
      <c r="AS18" s="25">
        <v>2925.9658217176616</v>
      </c>
      <c r="AT18" s="116">
        <v>6385.160134012498</v>
      </c>
      <c r="AU18" s="25">
        <v>3844.0619981030363</v>
      </c>
      <c r="AV18" s="25">
        <v>3355.5541731044013</v>
      </c>
      <c r="AW18" s="116">
        <v>7199.6161712074372</v>
      </c>
      <c r="AX18" s="25">
        <v>4398.8606357247245</v>
      </c>
      <c r="AY18" s="25">
        <v>3872.967109043519</v>
      </c>
      <c r="AZ18" s="116">
        <v>8271.8277447682412</v>
      </c>
    </row>
    <row r="19" spans="1:52" ht="16" x14ac:dyDescent="0.8">
      <c r="A19" s="13" t="s">
        <v>35</v>
      </c>
      <c r="B19" s="23">
        <v>58.561791359932037</v>
      </c>
      <c r="C19" s="23">
        <v>96.918326545630691</v>
      </c>
      <c r="D19" s="23">
        <v>155.48011790556274</v>
      </c>
      <c r="E19" s="23">
        <v>84.532801711797191</v>
      </c>
      <c r="F19" s="23">
        <v>118.26534418528678</v>
      </c>
      <c r="G19" s="23">
        <v>202.79814589708397</v>
      </c>
      <c r="H19" s="23">
        <v>107.7667541998558</v>
      </c>
      <c r="I19" s="23">
        <v>108.40454882964059</v>
      </c>
      <c r="J19" s="23">
        <v>216.17130302949639</v>
      </c>
      <c r="K19" s="23">
        <v>89.056812893053234</v>
      </c>
      <c r="L19" s="23">
        <v>119.47586113414242</v>
      </c>
      <c r="M19" s="23">
        <v>208.53267402719564</v>
      </c>
      <c r="N19" s="23">
        <v>137.30174408605086</v>
      </c>
      <c r="O19" s="23">
        <v>135.99290314299981</v>
      </c>
      <c r="P19" s="23">
        <v>273.29464722905067</v>
      </c>
      <c r="Q19" s="23">
        <v>158.08262633077041</v>
      </c>
      <c r="R19" s="23">
        <v>172.22497953638825</v>
      </c>
      <c r="S19" s="23">
        <v>330.30760586715866</v>
      </c>
      <c r="T19" s="23">
        <v>267.04058159228782</v>
      </c>
      <c r="U19" s="23">
        <v>254.34229641277159</v>
      </c>
      <c r="V19" s="23">
        <v>521.38287800505941</v>
      </c>
      <c r="W19" s="23">
        <v>308.42441815082589</v>
      </c>
      <c r="X19" s="23">
        <v>287.22455623547927</v>
      </c>
      <c r="Y19" s="23">
        <v>595.6489743863051</v>
      </c>
      <c r="Z19" s="23">
        <v>373.56828368750172</v>
      </c>
      <c r="AA19" s="23">
        <v>442.53703638055373</v>
      </c>
      <c r="AB19" s="23">
        <v>816.10532006805545</v>
      </c>
      <c r="AC19" s="23">
        <v>409.28810172088833</v>
      </c>
      <c r="AD19" s="23">
        <v>380.62786557518308</v>
      </c>
      <c r="AE19" s="23">
        <v>789.91596729607136</v>
      </c>
      <c r="AF19" s="24">
        <v>403.56360173067225</v>
      </c>
      <c r="AG19" s="24">
        <v>481.91500919731516</v>
      </c>
      <c r="AH19" s="24">
        <v>885.47861092798746</v>
      </c>
      <c r="AI19" s="25">
        <v>529.45275288775167</v>
      </c>
      <c r="AJ19" s="25">
        <v>508.8869360634871</v>
      </c>
      <c r="AK19" s="116">
        <v>1038.3396889512389</v>
      </c>
      <c r="AL19" s="25">
        <v>758.61723733671943</v>
      </c>
      <c r="AM19" s="25">
        <v>835.7217847964298</v>
      </c>
      <c r="AN19" s="116">
        <v>1594.339022133149</v>
      </c>
      <c r="AO19" s="25">
        <v>796.02991788753172</v>
      </c>
      <c r="AP19" s="25">
        <v>796.44888799147907</v>
      </c>
      <c r="AQ19" s="116">
        <v>1592.4788058790109</v>
      </c>
      <c r="AR19" s="25">
        <v>827.85148811270165</v>
      </c>
      <c r="AS19" s="25">
        <v>696.39628771871696</v>
      </c>
      <c r="AT19" s="116">
        <v>1524.2477758314185</v>
      </c>
      <c r="AU19" s="25">
        <v>620.92248802382551</v>
      </c>
      <c r="AV19" s="25">
        <v>619.73834982054245</v>
      </c>
      <c r="AW19" s="116">
        <v>1240.660837844368</v>
      </c>
      <c r="AX19" s="25">
        <v>648.93652339411892</v>
      </c>
      <c r="AY19" s="25">
        <v>606.92732118801302</v>
      </c>
      <c r="AZ19" s="116">
        <v>1255.8638445821318</v>
      </c>
    </row>
    <row r="20" spans="1:52" ht="16" x14ac:dyDescent="0.8">
      <c r="A20" s="13" t="s">
        <v>68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>
        <v>40.503386386999999</v>
      </c>
      <c r="AA20" s="23">
        <v>116.42714858000001</v>
      </c>
      <c r="AB20" s="23">
        <v>156.930534967</v>
      </c>
      <c r="AC20" s="23">
        <v>99.679782105969991</v>
      </c>
      <c r="AD20" s="23">
        <v>41.755384522</v>
      </c>
      <c r="AE20" s="23">
        <v>141.43516662796998</v>
      </c>
      <c r="AF20" s="24">
        <v>56.959134437000003</v>
      </c>
      <c r="AG20" s="24">
        <v>54.446709881999993</v>
      </c>
      <c r="AH20" s="24">
        <v>111.405844319</v>
      </c>
      <c r="AI20" s="25">
        <v>111.316300256657</v>
      </c>
      <c r="AJ20" s="25">
        <v>52.640374271249001</v>
      </c>
      <c r="AK20" s="116">
        <v>163.95667452790599</v>
      </c>
      <c r="AL20" s="25">
        <v>245.65042529079577</v>
      </c>
      <c r="AM20" s="25">
        <v>346.67755839973131</v>
      </c>
      <c r="AN20" s="116">
        <v>592.32798369052716</v>
      </c>
      <c r="AO20" s="25">
        <v>238.28103578073222</v>
      </c>
      <c r="AP20" s="25">
        <v>272.80376678927291</v>
      </c>
      <c r="AQ20" s="116">
        <v>511.08480257000514</v>
      </c>
      <c r="AR20" s="25">
        <v>260.83153655098329</v>
      </c>
      <c r="AS20" s="25">
        <v>154.60849343766787</v>
      </c>
      <c r="AT20" s="116">
        <v>415.44002998865113</v>
      </c>
      <c r="AU20" s="25">
        <v>34.408052001996964</v>
      </c>
      <c r="AV20" s="25">
        <v>35.65819267721988</v>
      </c>
      <c r="AW20" s="116">
        <v>70.066244679216851</v>
      </c>
      <c r="AX20" s="25">
        <v>31.858839296599999</v>
      </c>
      <c r="AY20" s="25">
        <v>33.925152397140423</v>
      </c>
      <c r="AZ20" s="116">
        <v>65.783991693740418</v>
      </c>
    </row>
    <row r="21" spans="1:52" ht="16" x14ac:dyDescent="0.8">
      <c r="A21" s="13" t="s">
        <v>69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>
        <v>11.825852672</v>
      </c>
      <c r="AA21" s="23">
        <v>11.1616635</v>
      </c>
      <c r="AB21" s="23">
        <v>22.987516171999999</v>
      </c>
      <c r="AC21" s="23">
        <v>11.605145685</v>
      </c>
      <c r="AD21" s="23">
        <v>11.426503324</v>
      </c>
      <c r="AE21" s="23">
        <v>23.031649008999999</v>
      </c>
      <c r="AF21" s="24">
        <v>11.573270916</v>
      </c>
      <c r="AG21" s="24">
        <v>8.101674022000001</v>
      </c>
      <c r="AH21" s="24">
        <v>19.674944938000003</v>
      </c>
      <c r="AI21" s="25">
        <v>8.9500926209999996</v>
      </c>
      <c r="AJ21" s="25">
        <v>27.199999999999996</v>
      </c>
      <c r="AK21" s="116">
        <v>36.150092620999999</v>
      </c>
      <c r="AL21" s="25">
        <v>215.09287778667468</v>
      </c>
      <c r="AM21" s="25">
        <v>316.12001089561022</v>
      </c>
      <c r="AN21" s="116">
        <v>531.21288868228487</v>
      </c>
      <c r="AO21" s="25">
        <v>222.02911425810541</v>
      </c>
      <c r="AP21" s="25">
        <v>256.55184526664607</v>
      </c>
      <c r="AQ21" s="116">
        <v>478.58095952475151</v>
      </c>
      <c r="AR21" s="25">
        <v>245.81139606098327</v>
      </c>
      <c r="AS21" s="25">
        <v>139.58835294766789</v>
      </c>
      <c r="AT21" s="116">
        <v>385.39974900865116</v>
      </c>
      <c r="AU21" s="25">
        <v>19.988717131596964</v>
      </c>
      <c r="AV21" s="25">
        <v>20.037246567619881</v>
      </c>
      <c r="AW21" s="116">
        <v>40.025963699216845</v>
      </c>
      <c r="AX21" s="25">
        <v>17.990922015319999</v>
      </c>
      <c r="AY21" s="25">
        <v>18.901575342420418</v>
      </c>
      <c r="AZ21" s="116">
        <v>36.892497357740417</v>
      </c>
    </row>
    <row r="22" spans="1:52" ht="16" x14ac:dyDescent="0.8">
      <c r="A22" s="13" t="s">
        <v>36</v>
      </c>
      <c r="B22" s="23">
        <v>706.34289262551806</v>
      </c>
      <c r="C22" s="23">
        <v>866.11853703142367</v>
      </c>
      <c r="D22" s="23">
        <v>1572.4614296569416</v>
      </c>
      <c r="E22" s="23">
        <v>784.44448331725744</v>
      </c>
      <c r="F22" s="23">
        <v>902.55478109726471</v>
      </c>
      <c r="G22" s="23">
        <v>1686.9992644145223</v>
      </c>
      <c r="H22" s="23">
        <v>881.99775710790493</v>
      </c>
      <c r="I22" s="23">
        <v>932.74468536729398</v>
      </c>
      <c r="J22" s="23">
        <v>1814.7424424751989</v>
      </c>
      <c r="K22" s="23">
        <v>970.71988960083218</v>
      </c>
      <c r="L22" s="23">
        <v>986.04136672561117</v>
      </c>
      <c r="M22" s="23">
        <v>1956.7612563264433</v>
      </c>
      <c r="N22" s="23">
        <v>1054.0980328342407</v>
      </c>
      <c r="O22" s="23">
        <v>1120.6030540958097</v>
      </c>
      <c r="P22" s="23">
        <v>2174.7010869300502</v>
      </c>
      <c r="Q22" s="23">
        <v>1146.6037851233441</v>
      </c>
      <c r="R22" s="23">
        <v>1464.9065311170441</v>
      </c>
      <c r="S22" s="23">
        <v>2611.5103162403884</v>
      </c>
      <c r="T22" s="23">
        <v>1507.3697270418352</v>
      </c>
      <c r="U22" s="23">
        <v>1530.5073115845905</v>
      </c>
      <c r="V22" s="23">
        <v>3037.8770386264259</v>
      </c>
      <c r="W22" s="23">
        <v>1755.4787952166714</v>
      </c>
      <c r="X22" s="23">
        <v>1702.5017534049427</v>
      </c>
      <c r="Y22" s="23">
        <v>3457.9805486216142</v>
      </c>
      <c r="Z22" s="23">
        <v>1950.5099086980831</v>
      </c>
      <c r="AA22" s="23">
        <v>2267.5000003835344</v>
      </c>
      <c r="AB22" s="23">
        <v>4218.0099090816175</v>
      </c>
      <c r="AC22" s="23">
        <v>2115.5635723278756</v>
      </c>
      <c r="AD22" s="23">
        <v>2400.9904415119554</v>
      </c>
      <c r="AE22" s="23">
        <v>4516.554013839831</v>
      </c>
      <c r="AF22" s="24">
        <v>2232.6031993939569</v>
      </c>
      <c r="AG22" s="24">
        <v>2806.7361267229194</v>
      </c>
      <c r="AH22" s="24">
        <v>5039.3393261168767</v>
      </c>
      <c r="AI22" s="25">
        <v>2754.2886895458023</v>
      </c>
      <c r="AJ22" s="25">
        <v>2598.0070801746569</v>
      </c>
      <c r="AK22" s="116">
        <v>5352.2957697204592</v>
      </c>
      <c r="AL22" s="25">
        <v>3177.2043443807574</v>
      </c>
      <c r="AM22" s="25">
        <v>3188.5725305982151</v>
      </c>
      <c r="AN22" s="116">
        <v>6365.776874978972</v>
      </c>
      <c r="AO22" s="25">
        <v>3805.9086014695035</v>
      </c>
      <c r="AP22" s="25">
        <v>3244.2496446475725</v>
      </c>
      <c r="AQ22" s="116">
        <v>7050.1582461170765</v>
      </c>
      <c r="AR22" s="25">
        <v>4287.0717150306446</v>
      </c>
      <c r="AS22" s="25">
        <v>3622.3361948132733</v>
      </c>
      <c r="AT22" s="116">
        <v>7909.4079098439179</v>
      </c>
      <c r="AU22" s="25">
        <v>4464.9739960654397</v>
      </c>
      <c r="AV22" s="25">
        <v>3975.3030129863655</v>
      </c>
      <c r="AW22" s="116">
        <v>8440.2770090518061</v>
      </c>
      <c r="AX22" s="25">
        <v>5047.7155453415571</v>
      </c>
      <c r="AY22" s="25">
        <v>4479.9760440088176</v>
      </c>
      <c r="AZ22" s="116">
        <v>9527.6915893503738</v>
      </c>
    </row>
    <row r="23" spans="1:52" ht="16" x14ac:dyDescent="0.8">
      <c r="A23" s="13" t="s">
        <v>37</v>
      </c>
      <c r="B23" s="23">
        <v>-297.38166732644675</v>
      </c>
      <c r="C23" s="23">
        <v>-410.60593076882253</v>
      </c>
      <c r="D23" s="23">
        <v>-707.98759809526928</v>
      </c>
      <c r="E23" s="23">
        <v>-335.84864990981384</v>
      </c>
      <c r="F23" s="23">
        <v>-348.3713209247137</v>
      </c>
      <c r="G23" s="23">
        <v>-684.21997083452754</v>
      </c>
      <c r="H23" s="23">
        <v>-340.69111176638188</v>
      </c>
      <c r="I23" s="23">
        <v>-306.08783305639497</v>
      </c>
      <c r="J23" s="23">
        <v>-646.77894482277679</v>
      </c>
      <c r="K23" s="23">
        <v>-371.33668801576147</v>
      </c>
      <c r="L23" s="23">
        <v>-299.8447227652444</v>
      </c>
      <c r="M23" s="23">
        <v>-671.18141078100587</v>
      </c>
      <c r="N23" s="23">
        <v>-363.15319974648031</v>
      </c>
      <c r="O23" s="23">
        <v>-350.0441312612341</v>
      </c>
      <c r="P23" s="23">
        <v>-713.19733100771441</v>
      </c>
      <c r="Q23" s="23">
        <v>-340.72941379930268</v>
      </c>
      <c r="R23" s="23">
        <v>-600.50358885955995</v>
      </c>
      <c r="S23" s="23">
        <v>-941.23300265886269</v>
      </c>
      <c r="T23" s="23">
        <v>-600.09814679179294</v>
      </c>
      <c r="U23" s="23">
        <v>-682.37563263920777</v>
      </c>
      <c r="V23" s="23">
        <v>-1282.4737794310008</v>
      </c>
      <c r="W23" s="23">
        <v>-783.87939868557646</v>
      </c>
      <c r="X23" s="23">
        <v>-666.99812064903222</v>
      </c>
      <c r="Y23" s="23">
        <v>-1450.8775193346087</v>
      </c>
      <c r="Z23" s="23">
        <v>-899.34676509060193</v>
      </c>
      <c r="AA23" s="23">
        <v>-1040.6644980811932</v>
      </c>
      <c r="AB23" s="23">
        <v>-1940.0112631717952</v>
      </c>
      <c r="AC23" s="23">
        <v>-858.35313591342208</v>
      </c>
      <c r="AD23" s="23">
        <v>-969.94094021502303</v>
      </c>
      <c r="AE23" s="23">
        <v>-1828.2940761284451</v>
      </c>
      <c r="AF23" s="24">
        <v>-763.41091446163728</v>
      </c>
      <c r="AG23" s="24">
        <v>-1222.5914595158272</v>
      </c>
      <c r="AH23" s="24">
        <v>-1986.0023739774645</v>
      </c>
      <c r="AI23" s="25">
        <v>-971.02243570924077</v>
      </c>
      <c r="AJ23" s="25">
        <v>-821.89473267280573</v>
      </c>
      <c r="AK23" s="116">
        <v>-1792.9171683820464</v>
      </c>
      <c r="AL23" s="25">
        <v>-1063.5745588840107</v>
      </c>
      <c r="AM23" s="25">
        <v>-998.92675952674222</v>
      </c>
      <c r="AN23" s="116">
        <v>-2062.5013184107529</v>
      </c>
      <c r="AO23" s="25">
        <v>-1344.1685601682245</v>
      </c>
      <c r="AP23" s="25">
        <v>-615.16170308091318</v>
      </c>
      <c r="AQ23" s="116">
        <v>-1959.3302632491377</v>
      </c>
      <c r="AR23" s="25">
        <v>-1450.6170582738346</v>
      </c>
      <c r="AS23" s="25">
        <v>-607.40697848860191</v>
      </c>
      <c r="AT23" s="116">
        <v>-2058.0240367624365</v>
      </c>
      <c r="AU23" s="25">
        <v>-1251.8715979671269</v>
      </c>
      <c r="AV23" s="25">
        <v>-559.78932719319278</v>
      </c>
      <c r="AW23" s="116">
        <v>-1811.6609251603193</v>
      </c>
      <c r="AX23" s="25">
        <v>-1393.0476152431293</v>
      </c>
      <c r="AY23" s="25">
        <v>-595.56121317661768</v>
      </c>
      <c r="AZ23" s="116">
        <v>-1988.6088284197472</v>
      </c>
    </row>
    <row r="24" spans="1:52" ht="16" x14ac:dyDescent="0.8">
      <c r="A24" s="26" t="s">
        <v>38</v>
      </c>
      <c r="B24" s="27" t="s">
        <v>39</v>
      </c>
      <c r="C24" s="27" t="s">
        <v>39</v>
      </c>
      <c r="D24" s="27" t="s">
        <v>39</v>
      </c>
      <c r="E24" s="27" t="s">
        <v>39</v>
      </c>
      <c r="F24" s="27" t="s">
        <v>39</v>
      </c>
      <c r="G24" s="27" t="s">
        <v>39</v>
      </c>
      <c r="H24" s="27" t="s">
        <v>39</v>
      </c>
      <c r="I24" s="27" t="s">
        <v>39</v>
      </c>
      <c r="J24" s="27" t="s">
        <v>39</v>
      </c>
      <c r="K24" s="27" t="s">
        <v>39</v>
      </c>
      <c r="L24" s="27" t="s">
        <v>39</v>
      </c>
      <c r="M24" s="27" t="s">
        <v>39</v>
      </c>
      <c r="N24" s="27" t="s">
        <v>39</v>
      </c>
      <c r="O24" s="27" t="s">
        <v>39</v>
      </c>
      <c r="P24" s="27" t="s">
        <v>39</v>
      </c>
      <c r="Q24" s="27" t="s">
        <v>39</v>
      </c>
      <c r="R24" s="27" t="s">
        <v>39</v>
      </c>
      <c r="S24" s="27" t="s">
        <v>39</v>
      </c>
      <c r="T24" s="27" t="s">
        <v>39</v>
      </c>
      <c r="U24" s="27" t="s">
        <v>39</v>
      </c>
      <c r="V24" s="27" t="s">
        <v>39</v>
      </c>
      <c r="W24" s="27" t="s">
        <v>39</v>
      </c>
      <c r="X24" s="27" t="s">
        <v>39</v>
      </c>
      <c r="Y24" s="27" t="s">
        <v>39</v>
      </c>
      <c r="Z24" s="27" t="s">
        <v>39</v>
      </c>
      <c r="AA24" s="27" t="s">
        <v>39</v>
      </c>
      <c r="AB24" s="27" t="s">
        <v>39</v>
      </c>
      <c r="AC24" s="27" t="s">
        <v>39</v>
      </c>
      <c r="AD24" s="27" t="s">
        <v>39</v>
      </c>
      <c r="AE24" s="27" t="s">
        <v>39</v>
      </c>
      <c r="AF24" s="27" t="s">
        <v>39</v>
      </c>
      <c r="AG24" s="27" t="s">
        <v>39</v>
      </c>
      <c r="AH24" s="27" t="s">
        <v>39</v>
      </c>
      <c r="AI24" s="27" t="s">
        <v>39</v>
      </c>
      <c r="AJ24" s="27" t="s">
        <v>39</v>
      </c>
      <c r="AK24" s="117" t="s">
        <v>39</v>
      </c>
      <c r="AL24" s="27" t="s">
        <v>39</v>
      </c>
      <c r="AM24" s="27" t="s">
        <v>39</v>
      </c>
      <c r="AN24" s="117" t="s">
        <v>39</v>
      </c>
      <c r="AO24" s="27" t="s">
        <v>39</v>
      </c>
      <c r="AP24" s="27" t="s">
        <v>39</v>
      </c>
      <c r="AQ24" s="117" t="s">
        <v>39</v>
      </c>
      <c r="AR24" s="27" t="s">
        <v>39</v>
      </c>
      <c r="AS24" s="27" t="s">
        <v>39</v>
      </c>
      <c r="AT24" s="117" t="s">
        <v>39</v>
      </c>
      <c r="AU24" s="27" t="s">
        <v>39</v>
      </c>
      <c r="AV24" s="27" t="s">
        <v>39</v>
      </c>
      <c r="AW24" s="117" t="s">
        <v>39</v>
      </c>
      <c r="AX24" s="27" t="s">
        <v>39</v>
      </c>
      <c r="AY24" s="27" t="s">
        <v>39</v>
      </c>
      <c r="AZ24" s="117" t="s">
        <v>39</v>
      </c>
    </row>
    <row r="25" spans="1:52" ht="16" x14ac:dyDescent="0.8">
      <c r="A25" s="28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>
        <v>1465.8582474876589</v>
      </c>
      <c r="M25" s="29">
        <v>9.4111371714942216E-2</v>
      </c>
      <c r="N25" s="27"/>
      <c r="O25" s="27">
        <v>1603.8121778983837</v>
      </c>
      <c r="P25" s="29">
        <v>0.30140546844784422</v>
      </c>
      <c r="Q25" s="27"/>
      <c r="R25" s="27">
        <v>2087.2099386802033</v>
      </c>
      <c r="S25" s="29">
        <v>0.1107739663829217</v>
      </c>
      <c r="T25" s="27">
        <v>2318.4184622616644</v>
      </c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30"/>
      <c r="AG25" s="30"/>
      <c r="AH25" s="30"/>
      <c r="AI25" s="31"/>
      <c r="AJ25" s="31"/>
      <c r="AK25" s="118"/>
      <c r="AL25" s="31"/>
      <c r="AM25" s="31"/>
      <c r="AN25" s="118"/>
      <c r="AO25" s="31"/>
      <c r="AP25" s="31"/>
      <c r="AQ25" s="118"/>
      <c r="AR25" s="31"/>
      <c r="AS25" s="31"/>
      <c r="AT25" s="118"/>
      <c r="AU25" s="31"/>
      <c r="AV25" s="31"/>
      <c r="AW25" s="118"/>
      <c r="AX25" s="31"/>
      <c r="AY25" s="31"/>
      <c r="AZ25" s="118"/>
    </row>
    <row r="26" spans="1:52" ht="16" x14ac:dyDescent="0.8">
      <c r="A26" s="13"/>
      <c r="B26" s="23"/>
      <c r="C26" s="23"/>
      <c r="D26" s="23"/>
      <c r="E26" s="23"/>
      <c r="F26" s="23"/>
      <c r="G26" s="32">
        <v>1229.0158938074383</v>
      </c>
      <c r="H26" s="32">
        <v>631.72635126004923</v>
      </c>
      <c r="I26" s="32">
        <v>680.64867305965356</v>
      </c>
      <c r="J26" s="32">
        <v>1312.3750243197026</v>
      </c>
      <c r="K26" s="32">
        <v>694.45265963977897</v>
      </c>
      <c r="L26" s="32">
        <v>729.25224803146875</v>
      </c>
      <c r="M26" s="32">
        <v>1423.7049076712478</v>
      </c>
      <c r="N26" s="32">
        <v>736.60599945619003</v>
      </c>
      <c r="O26" s="32">
        <v>805.28529763681001</v>
      </c>
      <c r="P26" s="32">
        <v>1541.891297093</v>
      </c>
      <c r="Q26" s="32">
        <v>798.52688026157352</v>
      </c>
      <c r="R26" s="32">
        <v>1070.164379754656</v>
      </c>
      <c r="S26" s="32">
        <v>1868.69126001623</v>
      </c>
      <c r="T26" s="32">
        <v>1017.0455589255474</v>
      </c>
      <c r="U26" s="32">
        <v>1088.7715987698191</v>
      </c>
      <c r="V26" s="32">
        <v>2105.8171576953664</v>
      </c>
      <c r="W26" s="32">
        <v>1229.6468634918454</v>
      </c>
      <c r="X26" s="32">
        <v>1167.2740454914635</v>
      </c>
      <c r="Y26" s="32">
        <v>2396.9209089833089</v>
      </c>
      <c r="Z26" s="32">
        <v>1346.8885515355817</v>
      </c>
      <c r="AA26" s="32">
        <v>1590.2640597839807</v>
      </c>
      <c r="AB26" s="32">
        <v>2937.1526113195623</v>
      </c>
      <c r="AC26" s="32">
        <v>1456.7093055379871</v>
      </c>
      <c r="AD26" s="23"/>
      <c r="AE26" s="23"/>
      <c r="AF26" s="25"/>
      <c r="AG26" s="25"/>
      <c r="AH26" s="25"/>
      <c r="AI26" s="25"/>
      <c r="AJ26" s="25"/>
      <c r="AK26" s="116"/>
      <c r="AL26" s="25"/>
      <c r="AM26" s="25"/>
      <c r="AN26" s="116"/>
      <c r="AO26" s="25"/>
      <c r="AP26" s="25"/>
      <c r="AQ26" s="116"/>
      <c r="AR26" s="25"/>
      <c r="AS26" s="25"/>
      <c r="AT26" s="116"/>
      <c r="AU26" s="25"/>
      <c r="AV26" s="25"/>
      <c r="AW26" s="116"/>
      <c r="AX26" s="25"/>
      <c r="AY26" s="25"/>
      <c r="AZ26" s="116"/>
    </row>
    <row r="27" spans="1:52" ht="16" x14ac:dyDescent="0.8">
      <c r="A27" s="13" t="s">
        <v>26</v>
      </c>
      <c r="B27" s="23">
        <v>2590</v>
      </c>
      <c r="C27" s="23">
        <v>2749</v>
      </c>
      <c r="D27" s="23">
        <v>5339</v>
      </c>
      <c r="E27" s="23">
        <v>2873</v>
      </c>
      <c r="F27" s="23">
        <v>2965</v>
      </c>
      <c r="G27" s="23">
        <v>5838</v>
      </c>
      <c r="H27" s="23">
        <v>3185</v>
      </c>
      <c r="I27" s="23">
        <v>3372</v>
      </c>
      <c r="J27" s="23">
        <v>6557</v>
      </c>
      <c r="K27" s="23">
        <v>3474</v>
      </c>
      <c r="L27" s="23">
        <v>3763</v>
      </c>
      <c r="M27" s="23">
        <v>7237</v>
      </c>
      <c r="N27" s="23">
        <v>3932</v>
      </c>
      <c r="O27" s="23">
        <v>4081</v>
      </c>
      <c r="P27" s="23">
        <v>8013</v>
      </c>
      <c r="Q27" s="23">
        <v>4218</v>
      </c>
      <c r="R27" s="23">
        <v>4499</v>
      </c>
      <c r="S27" s="23">
        <v>8717</v>
      </c>
      <c r="T27" s="23">
        <v>4808</v>
      </c>
      <c r="U27" s="23">
        <v>4578</v>
      </c>
      <c r="V27" s="23">
        <v>9386</v>
      </c>
      <c r="W27" s="23">
        <v>5019</v>
      </c>
      <c r="X27" s="23">
        <v>5251</v>
      </c>
      <c r="Y27" s="23">
        <v>10270</v>
      </c>
      <c r="Z27" s="33">
        <v>5682</v>
      </c>
      <c r="AA27" s="33">
        <v>6306</v>
      </c>
      <c r="AB27" s="33">
        <v>11988</v>
      </c>
      <c r="AC27" s="33">
        <v>7414</v>
      </c>
      <c r="AD27" s="33">
        <v>7879</v>
      </c>
      <c r="AE27" s="33">
        <v>15293</v>
      </c>
      <c r="AF27" s="34">
        <v>8890</v>
      </c>
      <c r="AG27" s="34">
        <v>9480</v>
      </c>
      <c r="AH27" s="34">
        <v>18370</v>
      </c>
      <c r="AI27" s="35">
        <v>10438</v>
      </c>
      <c r="AJ27" s="35">
        <v>11074</v>
      </c>
      <c r="AK27" s="119">
        <v>21512</v>
      </c>
      <c r="AL27" s="36">
        <v>12206.729454052709</v>
      </c>
      <c r="AM27" s="36">
        <v>12206.729454052709</v>
      </c>
      <c r="AN27" s="119">
        <v>24413.458908105418</v>
      </c>
      <c r="AO27" s="36">
        <v>13845.962183226446</v>
      </c>
      <c r="AP27" s="36">
        <v>13845.962183226446</v>
      </c>
      <c r="AQ27" s="119">
        <v>27691.924366452891</v>
      </c>
      <c r="AR27" s="36">
        <v>15573.178828834545</v>
      </c>
      <c r="AS27" s="36">
        <v>15573.178828834545</v>
      </c>
      <c r="AT27" s="119">
        <v>31146.35765766909</v>
      </c>
      <c r="AU27" s="36">
        <v>17456.932599519041</v>
      </c>
      <c r="AV27" s="36">
        <v>17456.932599519041</v>
      </c>
      <c r="AW27" s="119">
        <v>34913.865199038082</v>
      </c>
      <c r="AX27" s="36">
        <v>19577.34137275321</v>
      </c>
      <c r="AY27" s="36">
        <v>19577.34137275321</v>
      </c>
      <c r="AZ27" s="119">
        <v>39154.682745506419</v>
      </c>
    </row>
    <row r="28" spans="1:52" ht="16" x14ac:dyDescent="0.8">
      <c r="A28" s="13" t="s">
        <v>27</v>
      </c>
      <c r="B28" s="37">
        <v>0.15790008698805841</v>
      </c>
      <c r="C28" s="37">
        <v>0.1657012027146603</v>
      </c>
      <c r="D28" s="37">
        <v>0.16191680681057732</v>
      </c>
      <c r="E28" s="37">
        <v>0.15614195384874477</v>
      </c>
      <c r="F28" s="37">
        <v>0.18690841827067492</v>
      </c>
      <c r="G28" s="37">
        <v>0.1717676076704342</v>
      </c>
      <c r="H28" s="37">
        <v>0.16995499068807632</v>
      </c>
      <c r="I28" s="37">
        <v>0.1858412966521053</v>
      </c>
      <c r="J28" s="37">
        <v>0.17812467556083914</v>
      </c>
      <c r="K28" s="37">
        <v>0.1725340246358868</v>
      </c>
      <c r="L28" s="37">
        <v>0.18235361253265123</v>
      </c>
      <c r="M28" s="37">
        <v>0.17763988469606706</v>
      </c>
      <c r="N28" s="37">
        <v>0.175723507906348</v>
      </c>
      <c r="O28" s="37">
        <v>0.18881620260587501</v>
      </c>
      <c r="P28" s="37">
        <v>0.18239158316764462</v>
      </c>
      <c r="Q28" s="37">
        <v>0.19105603872073054</v>
      </c>
      <c r="R28" s="37">
        <v>0.19213223877694691</v>
      </c>
      <c r="S28" s="37">
        <v>0.1916114848665281</v>
      </c>
      <c r="T28" s="37">
        <v>0.1887004118656494</v>
      </c>
      <c r="U28" s="37">
        <v>0.18526248994001368</v>
      </c>
      <c r="V28" s="37">
        <v>0.18702357332148148</v>
      </c>
      <c r="W28" s="37">
        <v>0.19358425912155708</v>
      </c>
      <c r="X28" s="37">
        <v>0.19720122505349658</v>
      </c>
      <c r="Y28" s="37">
        <v>0.19543359584099371</v>
      </c>
      <c r="Z28" s="37">
        <v>0.18499879331353064</v>
      </c>
      <c r="AA28" s="37">
        <v>0.19455050781832242</v>
      </c>
      <c r="AB28" s="37">
        <v>0.1900232437362214</v>
      </c>
      <c r="AC28" s="37">
        <v>0.16957248940038488</v>
      </c>
      <c r="AD28" s="37">
        <v>0.18162831594071996</v>
      </c>
      <c r="AE28" s="37">
        <v>0.17578368781216153</v>
      </c>
      <c r="AF28" s="38">
        <v>0.16526347412062087</v>
      </c>
      <c r="AG28" s="38">
        <v>0.16710386784884937</v>
      </c>
      <c r="AH28" s="38">
        <v>0.16621322548390918</v>
      </c>
      <c r="AI28" s="39">
        <v>0.17084367252697466</v>
      </c>
      <c r="AJ28" s="39">
        <v>0.16038579984665441</v>
      </c>
      <c r="AK28" s="120">
        <v>0.16546014323811883</v>
      </c>
      <c r="AL28" s="39">
        <v>0.17315283290685277</v>
      </c>
      <c r="AM28" s="39">
        <v>0.17938021640550875</v>
      </c>
      <c r="AN28" s="120">
        <v>0.17626652465618078</v>
      </c>
      <c r="AO28" s="39">
        <v>0.17779479740913423</v>
      </c>
      <c r="AP28" s="39">
        <v>0.18988120195443273</v>
      </c>
      <c r="AQ28" s="120">
        <v>0.18383799968178346</v>
      </c>
      <c r="AR28" s="39">
        <v>0.18213716595259069</v>
      </c>
      <c r="AS28" s="39">
        <v>0.19359754674764112</v>
      </c>
      <c r="AT28" s="120">
        <v>0.18786735635011592</v>
      </c>
      <c r="AU28" s="39">
        <v>0.18405881902682247</v>
      </c>
      <c r="AV28" s="39">
        <v>0.19565371329252165</v>
      </c>
      <c r="AW28" s="120">
        <v>0.18985626615967205</v>
      </c>
      <c r="AX28" s="39">
        <v>0.18667845957801069</v>
      </c>
      <c r="AY28" s="39">
        <v>0.19841380690425825</v>
      </c>
      <c r="AZ28" s="120">
        <v>0.19254613324113448</v>
      </c>
    </row>
    <row r="29" spans="1:52" ht="16" x14ac:dyDescent="0.8">
      <c r="A29" s="13" t="s">
        <v>28</v>
      </c>
      <c r="B29" s="37">
        <v>0.25010853330717608</v>
      </c>
      <c r="C29" s="37">
        <v>0.27981091687369697</v>
      </c>
      <c r="D29" s="37">
        <v>0.26540200632166683</v>
      </c>
      <c r="E29" s="37">
        <v>0.24361701413347031</v>
      </c>
      <c r="F29" s="37">
        <v>0.26451583032444453</v>
      </c>
      <c r="G29" s="37">
        <v>0.25423109258606341</v>
      </c>
      <c r="H29" s="37">
        <v>0.24308665711398716</v>
      </c>
      <c r="I29" s="37">
        <v>0.24446623266241208</v>
      </c>
      <c r="J29" s="37">
        <v>0.24379611704219956</v>
      </c>
      <c r="K29" s="37">
        <v>0.25378902611047183</v>
      </c>
      <c r="L29" s="37">
        <v>0.23028581068069859</v>
      </c>
      <c r="M29" s="37">
        <v>0.24156813352207376</v>
      </c>
      <c r="N29" s="37">
        <v>0.23316284047512462</v>
      </c>
      <c r="O29" s="37">
        <v>0.24126688335035776</v>
      </c>
      <c r="P29" s="37">
        <v>0.23729020837401724</v>
      </c>
      <c r="Q29" s="37">
        <v>0.23435779013574529</v>
      </c>
      <c r="R29" s="37">
        <v>0.28732641733288644</v>
      </c>
      <c r="S29" s="37">
        <v>0.26169584838513593</v>
      </c>
      <c r="T29" s="37">
        <v>0.25797195204857476</v>
      </c>
      <c r="U29" s="37">
        <v>0.27876037902398842</v>
      </c>
      <c r="V29" s="37">
        <v>0.26811145968691313</v>
      </c>
      <c r="W29" s="37">
        <v>0.28799240241698459</v>
      </c>
      <c r="X29" s="37">
        <v>0.26395199056112428</v>
      </c>
      <c r="Y29" s="37">
        <v>0.27570065921784898</v>
      </c>
      <c r="Z29" s="37">
        <v>0.27753284495082398</v>
      </c>
      <c r="AA29" s="37">
        <v>0.28940104091388846</v>
      </c>
      <c r="AB29" s="37">
        <v>0.28377582490937286</v>
      </c>
      <c r="AC29" s="37">
        <v>0.23014236182991465</v>
      </c>
      <c r="AD29" s="37">
        <v>0.25642373092229626</v>
      </c>
      <c r="AE29" s="37">
        <v>0.24368260292576732</v>
      </c>
      <c r="AF29" s="38">
        <v>0.20574123708248424</v>
      </c>
      <c r="AG29" s="38">
        <v>0.24523429509763753</v>
      </c>
      <c r="AH29" s="38">
        <v>0.22612197687473534</v>
      </c>
      <c r="AI29" s="39">
        <v>0.21314772338168717</v>
      </c>
      <c r="AJ29" s="39">
        <v>0.18865090699938322</v>
      </c>
      <c r="AK29" s="120">
        <v>0.20053719230054018</v>
      </c>
      <c r="AL29" s="39">
        <v>0.19813555433892682</v>
      </c>
      <c r="AM29" s="39">
        <v>0.19275029848561318</v>
      </c>
      <c r="AN29" s="120">
        <v>0.19544292641226998</v>
      </c>
      <c r="AO29" s="39">
        <v>0.21738571671796855</v>
      </c>
      <c r="AP29" s="39">
        <v>0.17678547687735396</v>
      </c>
      <c r="AQ29" s="120">
        <v>0.19708559679766124</v>
      </c>
      <c r="AR29" s="39">
        <v>0.22212512617462274</v>
      </c>
      <c r="AS29" s="39">
        <v>0.18788494332962288</v>
      </c>
      <c r="AT29" s="120">
        <v>0.20500503475212281</v>
      </c>
      <c r="AU29" s="39">
        <v>0.22020260295952249</v>
      </c>
      <c r="AV29" s="39">
        <v>0.19221900262116215</v>
      </c>
      <c r="AW29" s="120">
        <v>0.20621080279034229</v>
      </c>
      <c r="AX29" s="39">
        <v>0.22469142014588581</v>
      </c>
      <c r="AY29" s="39">
        <v>0.19782906347200577</v>
      </c>
      <c r="AZ29" s="120">
        <v>0.21126024180894573</v>
      </c>
    </row>
    <row r="30" spans="1:52" ht="16" x14ac:dyDescent="0.8">
      <c r="A30" s="13" t="s">
        <v>29</v>
      </c>
      <c r="B30" s="37">
        <v>2.2610730254800013E-2</v>
      </c>
      <c r="C30" s="37">
        <v>3.52558481431905E-2</v>
      </c>
      <c r="D30" s="37">
        <v>2.912158042808817E-2</v>
      </c>
      <c r="E30" s="37">
        <v>2.942318193936554E-2</v>
      </c>
      <c r="F30" s="37">
        <v>3.9887131259793179E-2</v>
      </c>
      <c r="G30" s="37">
        <v>3.4737606354416577E-2</v>
      </c>
      <c r="H30" s="37">
        <v>3.3835715604350329E-2</v>
      </c>
      <c r="I30" s="37">
        <v>3.2148442713416547E-2</v>
      </c>
      <c r="J30" s="37">
        <v>3.2968019373112153E-2</v>
      </c>
      <c r="K30" s="37">
        <v>2.5635236871920909E-2</v>
      </c>
      <c r="L30" s="37">
        <v>3.1750162406096842E-2</v>
      </c>
      <c r="M30" s="37">
        <v>2.8814795360950069E-2</v>
      </c>
      <c r="N30" s="37">
        <v>3.4919060042230637E-2</v>
      </c>
      <c r="O30" s="37">
        <v>3.3323426401127128E-2</v>
      </c>
      <c r="P30" s="37">
        <v>3.4106407990646535E-2</v>
      </c>
      <c r="Q30" s="37">
        <v>3.7478100125834614E-2</v>
      </c>
      <c r="R30" s="37">
        <v>3.8280724502420149E-2</v>
      </c>
      <c r="S30" s="37">
        <v>3.7892348958031279E-2</v>
      </c>
      <c r="T30" s="37">
        <v>5.5540886354469181E-2</v>
      </c>
      <c r="U30" s="37">
        <v>5.5557513414760069E-2</v>
      </c>
      <c r="V30" s="37">
        <v>5.554899616503936E-2</v>
      </c>
      <c r="W30" s="37">
        <v>6.145136843013068E-2</v>
      </c>
      <c r="X30" s="37">
        <v>5.4699020421915684E-2</v>
      </c>
      <c r="Y30" s="37">
        <v>5.799892642515142E-2</v>
      </c>
      <c r="Z30" s="37">
        <v>6.5745914059750388E-2</v>
      </c>
      <c r="AA30" s="37">
        <v>7.0177138658508359E-2</v>
      </c>
      <c r="AB30" s="37">
        <v>6.8076853525863817E-2</v>
      </c>
      <c r="AC30" s="37">
        <v>5.5204761494589742E-2</v>
      </c>
      <c r="AD30" s="37">
        <v>4.83091592302555E-2</v>
      </c>
      <c r="AE30" s="37">
        <v>5.165212628627943E-2</v>
      </c>
      <c r="AF30" s="38">
        <v>4.5395230790851775E-2</v>
      </c>
      <c r="AG30" s="38">
        <v>5.0834916581995272E-2</v>
      </c>
      <c r="AH30" s="38">
        <v>4.8202428466411949E-2</v>
      </c>
      <c r="AI30" s="39">
        <v>5.0723582380508878E-2</v>
      </c>
      <c r="AJ30" s="39">
        <v>4.595330829542054E-2</v>
      </c>
      <c r="AK30" s="120">
        <v>4.8267929014096267E-2</v>
      </c>
      <c r="AL30" s="39">
        <v>6.2147460561997943E-2</v>
      </c>
      <c r="AM30" s="39">
        <v>6.8464021255010693E-2</v>
      </c>
      <c r="AN30" s="120">
        <v>6.5305740908504314E-2</v>
      </c>
      <c r="AO30" s="39">
        <v>5.749184544587839E-2</v>
      </c>
      <c r="AP30" s="39">
        <v>5.7522104816690109E-2</v>
      </c>
      <c r="AQ30" s="120">
        <v>5.7506975131284256E-2</v>
      </c>
      <c r="AR30" s="39">
        <v>5.3158799318472595E-2</v>
      </c>
      <c r="AS30" s="39">
        <v>4.4717671027401498E-2</v>
      </c>
      <c r="AT30" s="120">
        <v>4.8938235172937043E-2</v>
      </c>
      <c r="AU30" s="39">
        <v>3.5568819692924324E-2</v>
      </c>
      <c r="AV30" s="39">
        <v>3.5500987718633741E-2</v>
      </c>
      <c r="AW30" s="120">
        <v>3.5534903705779032E-2</v>
      </c>
      <c r="AX30" s="39">
        <v>3.3147326342139447E-2</v>
      </c>
      <c r="AY30" s="39">
        <v>3.1001519033258772E-2</v>
      </c>
      <c r="AZ30" s="120">
        <v>3.2074422687699104E-2</v>
      </c>
    </row>
    <row r="31" spans="1:52" ht="16" x14ac:dyDescent="0.8">
      <c r="A31" s="13" t="s">
        <v>68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>
        <v>7.128367896339317E-3</v>
      </c>
      <c r="AA31" s="37">
        <v>1.8462916045036474E-2</v>
      </c>
      <c r="AB31" s="37">
        <v>1.3090635215799132E-2</v>
      </c>
      <c r="AC31" s="37">
        <v>1.3444804708115725E-2</v>
      </c>
      <c r="AD31" s="37">
        <v>5.2995792006599821E-3</v>
      </c>
      <c r="AE31" s="37">
        <v>9.2483598135074847E-3</v>
      </c>
      <c r="AF31" s="38">
        <v>6.4071017364454447E-3</v>
      </c>
      <c r="AG31" s="38">
        <v>5.7433238272151894E-3</v>
      </c>
      <c r="AH31" s="38">
        <v>6.0645533107784432E-3</v>
      </c>
      <c r="AI31" s="39">
        <v>1.0664523879733379E-2</v>
      </c>
      <c r="AJ31" s="39">
        <v>4.7535104091790681E-3</v>
      </c>
      <c r="AK31" s="120">
        <v>7.6216379010740978E-3</v>
      </c>
      <c r="AL31" s="39">
        <v>2.0124180372428777E-2</v>
      </c>
      <c r="AM31" s="39">
        <v>2.8400527733874879E-2</v>
      </c>
      <c r="AN31" s="120">
        <v>2.426235405315183E-2</v>
      </c>
      <c r="AO31" s="39">
        <v>1.720942413589685E-2</v>
      </c>
      <c r="AP31" s="39">
        <v>1.9702767000169794E-2</v>
      </c>
      <c r="AQ31" s="120">
        <v>1.8456095568033321E-2</v>
      </c>
      <c r="AR31" s="39">
        <v>1.674876654392745E-2</v>
      </c>
      <c r="AS31" s="39">
        <v>9.9278699061364564E-3</v>
      </c>
      <c r="AT31" s="120">
        <v>1.3338318225031951E-2</v>
      </c>
      <c r="AU31" s="39">
        <v>1.9710250816311766E-3</v>
      </c>
      <c r="AV31" s="39">
        <v>2.0426379304576284E-3</v>
      </c>
      <c r="AW31" s="120">
        <v>2.0068315060444027E-3</v>
      </c>
      <c r="AX31" s="39">
        <v>1.627332265909179E-3</v>
      </c>
      <c r="AY31" s="39">
        <v>1.7328784205783835E-3</v>
      </c>
      <c r="AZ31" s="120">
        <v>1.6801053432437812E-3</v>
      </c>
    </row>
    <row r="32" spans="1:52" ht="16" x14ac:dyDescent="0.8">
      <c r="A32" s="13" t="s">
        <v>69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>
        <v>2.0812834692009855E-3</v>
      </c>
      <c r="AA32" s="37">
        <v>1.7700068981921979E-3</v>
      </c>
      <c r="AB32" s="37">
        <v>1.9175438915582249E-3</v>
      </c>
      <c r="AC32" s="37">
        <v>1.5653015490963043E-3</v>
      </c>
      <c r="AD32" s="37">
        <v>1.4502479152176673E-3</v>
      </c>
      <c r="AE32" s="37">
        <v>1.5060255678414961E-3</v>
      </c>
      <c r="AF32" s="38">
        <v>1.3018302492688414E-3</v>
      </c>
      <c r="AG32" s="38">
        <v>8.5460696434599167E-4</v>
      </c>
      <c r="AH32" s="38">
        <v>1.0710367413173654E-3</v>
      </c>
      <c r="AI32" s="39">
        <v>8.5745282822379757E-4</v>
      </c>
      <c r="AJ32" s="39">
        <v>2.4562037204262231E-3</v>
      </c>
      <c r="AK32" s="120">
        <v>1.6804617246653031E-3</v>
      </c>
      <c r="AL32" s="39">
        <v>1.7620844190600334E-2</v>
      </c>
      <c r="AM32" s="39">
        <v>2.5897191552046436E-2</v>
      </c>
      <c r="AN32" s="120">
        <v>2.1759017871323384E-2</v>
      </c>
      <c r="AO32" s="39">
        <v>1.6035658000502152E-2</v>
      </c>
      <c r="AP32" s="39">
        <v>1.8529000864775096E-2</v>
      </c>
      <c r="AQ32" s="120">
        <v>1.7282329432638625E-2</v>
      </c>
      <c r="AR32" s="39">
        <v>1.5784278775881695E-2</v>
      </c>
      <c r="AS32" s="39">
        <v>8.9633821380907044E-3</v>
      </c>
      <c r="AT32" s="120">
        <v>1.2373830456986199E-2</v>
      </c>
      <c r="AU32" s="39">
        <v>1.1450303206273292E-3</v>
      </c>
      <c r="AV32" s="39">
        <v>1.1478102727034605E-3</v>
      </c>
      <c r="AW32" s="120">
        <v>1.1464202966653949E-3</v>
      </c>
      <c r="AX32" s="39">
        <v>9.1896655795964659E-4</v>
      </c>
      <c r="AY32" s="39">
        <v>9.6548223696638969E-4</v>
      </c>
      <c r="AZ32" s="120">
        <v>9.4222439746301809E-4</v>
      </c>
    </row>
    <row r="33" spans="1:52" ht="16" x14ac:dyDescent="0.8">
      <c r="A33" s="13" t="s">
        <v>30</v>
      </c>
      <c r="B33" s="37">
        <v>0.27271926356197607</v>
      </c>
      <c r="C33" s="37">
        <v>0.31506676501688746</v>
      </c>
      <c r="D33" s="37">
        <v>0.29452358674975493</v>
      </c>
      <c r="E33" s="37">
        <v>0.27304019607283586</v>
      </c>
      <c r="F33" s="37">
        <v>0.30440296158423769</v>
      </c>
      <c r="G33" s="37">
        <v>0.28896869894048</v>
      </c>
      <c r="H33" s="37">
        <v>0.27692237271833747</v>
      </c>
      <c r="I33" s="37">
        <v>0.27661467537582857</v>
      </c>
      <c r="J33" s="37">
        <v>0.27676413641531172</v>
      </c>
      <c r="K33" s="37">
        <v>0.2794242629823927</v>
      </c>
      <c r="L33" s="37">
        <v>0.26203597308679544</v>
      </c>
      <c r="M33" s="37">
        <v>0.27038292888302379</v>
      </c>
      <c r="N33" s="37">
        <v>0.2680819005173552</v>
      </c>
      <c r="O33" s="37">
        <v>0.27459030975148485</v>
      </c>
      <c r="P33" s="37">
        <v>0.27139661636466372</v>
      </c>
      <c r="Q33" s="37">
        <v>0.27183589026157989</v>
      </c>
      <c r="R33" s="37">
        <v>0.32560714183530653</v>
      </c>
      <c r="S33" s="37">
        <v>0.29958819734316722</v>
      </c>
      <c r="T33" s="37">
        <v>0.31351283840304395</v>
      </c>
      <c r="U33" s="37">
        <v>0.33431789243874849</v>
      </c>
      <c r="V33" s="37">
        <v>0.32366045585195247</v>
      </c>
      <c r="W33" s="37">
        <v>0.34976664578933481</v>
      </c>
      <c r="X33" s="37">
        <v>0.32422429125974916</v>
      </c>
      <c r="Y33" s="37">
        <v>0.33670696675965084</v>
      </c>
      <c r="Z33" s="37">
        <v>0.34327875901057431</v>
      </c>
      <c r="AA33" s="37">
        <v>0.35957817957239685</v>
      </c>
      <c r="AB33" s="37">
        <v>0.35185267843523671</v>
      </c>
      <c r="AC33" s="37">
        <v>0.2853471233245044</v>
      </c>
      <c r="AD33" s="37">
        <v>0.30473289015255178</v>
      </c>
      <c r="AE33" s="37">
        <v>0.29533472921204673</v>
      </c>
      <c r="AF33" s="38">
        <v>0.25113646787333599</v>
      </c>
      <c r="AG33" s="38">
        <v>0.29606921167963285</v>
      </c>
      <c r="AH33" s="38">
        <v>0.27432440534114733</v>
      </c>
      <c r="AI33" s="39">
        <v>0.26387130576219603</v>
      </c>
      <c r="AJ33" s="39">
        <v>0.23460421529480377</v>
      </c>
      <c r="AK33" s="120">
        <v>0.24880512131463645</v>
      </c>
      <c r="AL33" s="39">
        <v>0.2602830149009247</v>
      </c>
      <c r="AM33" s="39">
        <v>0.26121431974062387</v>
      </c>
      <c r="AN33" s="120">
        <v>0.26074866732077423</v>
      </c>
      <c r="AO33" s="39">
        <v>0.27487498168095059</v>
      </c>
      <c r="AP33" s="39">
        <v>0.23431016217694042</v>
      </c>
      <c r="AQ33" s="120">
        <v>0.25459257192894552</v>
      </c>
      <c r="AR33" s="39">
        <v>0.27528558954790333</v>
      </c>
      <c r="AS33" s="39">
        <v>0.23260095030221645</v>
      </c>
      <c r="AT33" s="120">
        <v>0.25394326992505989</v>
      </c>
      <c r="AU33" s="39">
        <v>0.25577082174152721</v>
      </c>
      <c r="AV33" s="39">
        <v>0.22772059125071548</v>
      </c>
      <c r="AW33" s="120">
        <v>0.24174570649612137</v>
      </c>
      <c r="AX33" s="39">
        <v>0.25783457770045948</v>
      </c>
      <c r="AY33" s="39">
        <v>0.22883475129283029</v>
      </c>
      <c r="AZ33" s="120">
        <v>0.24333466449664484</v>
      </c>
    </row>
    <row r="34" spans="1:52" ht="16" x14ac:dyDescent="0.8">
      <c r="A34" s="13" t="s">
        <v>31</v>
      </c>
      <c r="B34" s="37">
        <v>-0.11481917657391766</v>
      </c>
      <c r="C34" s="37">
        <v>-0.14936556230222719</v>
      </c>
      <c r="D34" s="37">
        <v>-0.1326067799391776</v>
      </c>
      <c r="E34" s="37">
        <v>-0.11689824222409113</v>
      </c>
      <c r="F34" s="37">
        <v>-0.11749454331356279</v>
      </c>
      <c r="G34" s="37">
        <v>-0.11720109127004583</v>
      </c>
      <c r="H34" s="37">
        <v>-0.10696738203026118</v>
      </c>
      <c r="I34" s="37">
        <v>-9.0773378723723305E-2</v>
      </c>
      <c r="J34" s="37">
        <v>-9.8639460854472588E-2</v>
      </c>
      <c r="K34" s="37">
        <v>-0.10689023834650589</v>
      </c>
      <c r="L34" s="37">
        <v>-7.9682360554144141E-2</v>
      </c>
      <c r="M34" s="37">
        <v>-9.2743044186956725E-2</v>
      </c>
      <c r="N34" s="37">
        <v>-9.2358392611007201E-2</v>
      </c>
      <c r="O34" s="37">
        <v>-8.5774107145609929E-2</v>
      </c>
      <c r="P34" s="37">
        <v>-8.9005033197019148E-2</v>
      </c>
      <c r="Q34" s="37">
        <v>-8.0779851540849379E-2</v>
      </c>
      <c r="R34" s="37">
        <v>-0.13347490305835963</v>
      </c>
      <c r="S34" s="37">
        <v>-0.10797671247663906</v>
      </c>
      <c r="T34" s="37">
        <v>-0.12481242653739454</v>
      </c>
      <c r="U34" s="37">
        <v>-0.14905540249873478</v>
      </c>
      <c r="V34" s="37">
        <v>-0.13663688253047099</v>
      </c>
      <c r="W34" s="37">
        <v>-0.15618238666777773</v>
      </c>
      <c r="X34" s="37">
        <v>-0.12702306620625256</v>
      </c>
      <c r="Y34" s="37">
        <v>-0.14127337091865713</v>
      </c>
      <c r="Z34" s="37">
        <v>-0.15827996569704364</v>
      </c>
      <c r="AA34" s="37">
        <v>-0.1650276717540744</v>
      </c>
      <c r="AB34" s="37">
        <v>-0.16182943469901528</v>
      </c>
      <c r="AC34" s="37">
        <v>-0.11577463392411952</v>
      </c>
      <c r="AD34" s="37">
        <v>-0.12310457421183184</v>
      </c>
      <c r="AE34" s="37">
        <v>-0.11955104139988525</v>
      </c>
      <c r="AF34" s="38">
        <v>-8.5872993752715107E-2</v>
      </c>
      <c r="AG34" s="38">
        <v>-0.12896534383078345</v>
      </c>
      <c r="AH34" s="38">
        <v>-0.10811117985723813</v>
      </c>
      <c r="AI34" s="39">
        <v>-9.3027633235221383E-2</v>
      </c>
      <c r="AJ34" s="39">
        <v>-7.4218415448149333E-2</v>
      </c>
      <c r="AK34" s="120">
        <v>-8.3344978076517584E-2</v>
      </c>
      <c r="AL34" s="39">
        <v>-8.7130181994071923E-2</v>
      </c>
      <c r="AM34" s="39">
        <v>-8.183410333511508E-2</v>
      </c>
      <c r="AN34" s="120">
        <v>-8.4482142664593501E-2</v>
      </c>
      <c r="AO34" s="39">
        <v>-9.7080184271816389E-2</v>
      </c>
      <c r="AP34" s="39">
        <v>-4.4428960222507669E-2</v>
      </c>
      <c r="AQ34" s="120">
        <v>-7.0754572247162029E-2</v>
      </c>
      <c r="AR34" s="39">
        <v>-9.3148423595312613E-2</v>
      </c>
      <c r="AS34" s="39">
        <v>-3.9003403554575287E-2</v>
      </c>
      <c r="AT34" s="120">
        <v>-6.6075913574943954E-2</v>
      </c>
      <c r="AU34" s="39">
        <v>-7.1712002714704723E-2</v>
      </c>
      <c r="AV34" s="39">
        <v>-3.2066877958193851E-2</v>
      </c>
      <c r="AW34" s="120">
        <v>-5.1889440336449273E-2</v>
      </c>
      <c r="AX34" s="39">
        <v>-7.1156118122448694E-2</v>
      </c>
      <c r="AY34" s="39">
        <v>-3.0420944388572128E-2</v>
      </c>
      <c r="AZ34" s="120">
        <v>-5.0788531255510416E-2</v>
      </c>
    </row>
    <row r="35" spans="1:52" x14ac:dyDescent="0.75">
      <c r="A35" s="40" t="s">
        <v>40</v>
      </c>
    </row>
    <row r="36" spans="1:52" ht="16" x14ac:dyDescent="0.8">
      <c r="A36" s="41" t="s">
        <v>41</v>
      </c>
      <c r="AI36" s="42" t="str">
        <f>+AI6</f>
        <v>Jul-Dec</v>
      </c>
      <c r="AJ36" s="42" t="str">
        <f>+AJ6</f>
        <v>Jan-Jun</v>
      </c>
      <c r="AK36" s="43" t="str">
        <f>+AK5</f>
        <v>2024/2025</v>
      </c>
      <c r="AL36" s="44" t="str">
        <f>+AL6</f>
        <v>Jul-Dec</v>
      </c>
      <c r="AM36" s="44" t="str">
        <f>+AM6</f>
        <v>Jan-Jun</v>
      </c>
      <c r="AN36" s="43" t="str">
        <f>+AN5</f>
        <v>2025/2026</v>
      </c>
      <c r="AO36" s="44" t="str">
        <f>+AO6</f>
        <v>Jul-Dec</v>
      </c>
      <c r="AP36" s="44" t="str">
        <f>+AP6</f>
        <v>Jan-Jun</v>
      </c>
      <c r="AQ36" s="43" t="str">
        <f>+AQ5</f>
        <v>2026/2027</v>
      </c>
      <c r="AR36" s="44" t="str">
        <f>+AR6</f>
        <v>Jul-Dec</v>
      </c>
      <c r="AS36" s="44" t="str">
        <f>+AS6</f>
        <v>Jan-Jun</v>
      </c>
      <c r="AT36" s="43" t="str">
        <f>+AT5</f>
        <v>2027/2028</v>
      </c>
      <c r="AU36" s="44" t="str">
        <f>+AU6</f>
        <v>Jul-Dec</v>
      </c>
      <c r="AV36" s="44" t="str">
        <f>+AV6</f>
        <v>Jan-Jun</v>
      </c>
      <c r="AW36" s="43" t="str">
        <f>+AW5</f>
        <v>2028/2029</v>
      </c>
      <c r="AX36" s="45"/>
      <c r="AY36" s="45"/>
      <c r="AZ36" s="43">
        <v>1</v>
      </c>
    </row>
    <row r="37" spans="1:52" ht="16" x14ac:dyDescent="0.8">
      <c r="A37" s="46" t="str">
        <f>+A34</f>
        <v>Deficit (Excl. Grants ) % of GDP</v>
      </c>
      <c r="AI37" s="47">
        <f t="shared" ref="AI37:AJ37" si="0">+AI34</f>
        <v>-9.3027633235221383E-2</v>
      </c>
      <c r="AJ37" s="47">
        <f t="shared" si="0"/>
        <v>-7.4218415448149333E-2</v>
      </c>
      <c r="AK37" s="78">
        <f>+AK34</f>
        <v>-8.3344978076517584E-2</v>
      </c>
      <c r="AL37" s="47">
        <f t="shared" ref="AL37:AZ37" si="1">+AL34</f>
        <v>-8.7130181994071923E-2</v>
      </c>
      <c r="AM37" s="47">
        <f t="shared" si="1"/>
        <v>-8.183410333511508E-2</v>
      </c>
      <c r="AN37" s="78">
        <f t="shared" si="1"/>
        <v>-8.4482142664593501E-2</v>
      </c>
      <c r="AO37" s="47">
        <f t="shared" si="1"/>
        <v>-9.7080184271816389E-2</v>
      </c>
      <c r="AP37" s="47">
        <f t="shared" si="1"/>
        <v>-4.4428960222507669E-2</v>
      </c>
      <c r="AQ37" s="78">
        <f t="shared" si="1"/>
        <v>-7.0754572247162029E-2</v>
      </c>
      <c r="AR37" s="47">
        <f t="shared" si="1"/>
        <v>-9.3148423595312613E-2</v>
      </c>
      <c r="AS37" s="47">
        <f t="shared" si="1"/>
        <v>-3.9003403554575287E-2</v>
      </c>
      <c r="AT37" s="78">
        <f t="shared" si="1"/>
        <v>-6.6075913574943954E-2</v>
      </c>
      <c r="AU37" s="47">
        <f t="shared" si="1"/>
        <v>-7.1712002714704723E-2</v>
      </c>
      <c r="AV37" s="47">
        <f t="shared" si="1"/>
        <v>-3.2066877958193851E-2</v>
      </c>
      <c r="AW37" s="78">
        <f t="shared" si="1"/>
        <v>-5.1889440336449273E-2</v>
      </c>
      <c r="AX37" s="47">
        <f t="shared" si="1"/>
        <v>-7.1156118122448694E-2</v>
      </c>
      <c r="AY37" s="47">
        <f t="shared" si="1"/>
        <v>-3.0420944388572128E-2</v>
      </c>
      <c r="AZ37" s="78">
        <f t="shared" si="1"/>
        <v>-5.0788531255510416E-2</v>
      </c>
    </row>
    <row r="38" spans="1:52" x14ac:dyDescent="0.75">
      <c r="A38" s="93" t="str">
        <f>+A51</f>
        <v xml:space="preserve">correction </v>
      </c>
      <c r="AL38" s="48">
        <f>-AL51</f>
        <v>5.0000000000000001E-3</v>
      </c>
      <c r="AM38" s="48">
        <f t="shared" ref="AM38:AZ38" si="2">-AM51</f>
        <v>-5.0000000000000001E-3</v>
      </c>
      <c r="AN38" s="94">
        <f t="shared" si="2"/>
        <v>0</v>
      </c>
      <c r="AO38" s="48">
        <f t="shared" si="2"/>
        <v>0.02</v>
      </c>
      <c r="AP38" s="48">
        <f t="shared" si="2"/>
        <v>-0.02</v>
      </c>
      <c r="AQ38" s="94">
        <f t="shared" si="2"/>
        <v>0</v>
      </c>
      <c r="AR38" s="48">
        <f t="shared" si="2"/>
        <v>1.7999999999999999E-2</v>
      </c>
      <c r="AS38" s="48">
        <f t="shared" si="2"/>
        <v>-1.7999999999999999E-2</v>
      </c>
      <c r="AT38" s="94">
        <f t="shared" si="2"/>
        <v>0</v>
      </c>
      <c r="AU38" s="48">
        <f t="shared" si="2"/>
        <v>1.4999999999999999E-2</v>
      </c>
      <c r="AV38" s="48">
        <f t="shared" si="2"/>
        <v>-1.4999999999999999E-2</v>
      </c>
      <c r="AW38" s="94">
        <f t="shared" si="2"/>
        <v>0</v>
      </c>
      <c r="AX38" s="48">
        <f t="shared" si="2"/>
        <v>1.4999999999999999E-2</v>
      </c>
      <c r="AY38" s="48">
        <f t="shared" si="2"/>
        <v>-1.4999999999999999E-2</v>
      </c>
      <c r="AZ38" s="94">
        <f t="shared" si="2"/>
        <v>0</v>
      </c>
    </row>
    <row r="39" spans="1:52" ht="15.5" thickBot="1" x14ac:dyDescent="0.9">
      <c r="A39" s="49" t="s">
        <v>42</v>
      </c>
      <c r="AL39" s="50">
        <f>+AL37+AL38</f>
        <v>-8.2130181994071919E-2</v>
      </c>
      <c r="AM39" s="50">
        <f t="shared" ref="AM39:AZ39" si="3">+AM37+AM38</f>
        <v>-8.6834103335115084E-2</v>
      </c>
      <c r="AN39" s="121">
        <f t="shared" si="3"/>
        <v>-8.4482142664593501E-2</v>
      </c>
      <c r="AO39" s="50">
        <f t="shared" si="3"/>
        <v>-7.7080184271816385E-2</v>
      </c>
      <c r="AP39" s="50">
        <f t="shared" si="3"/>
        <v>-6.4428960222507672E-2</v>
      </c>
      <c r="AQ39" s="121">
        <f t="shared" si="3"/>
        <v>-7.0754572247162029E-2</v>
      </c>
      <c r="AR39" s="50">
        <f t="shared" si="3"/>
        <v>-7.5148423595312611E-2</v>
      </c>
      <c r="AS39" s="50">
        <f t="shared" si="3"/>
        <v>-5.7003403554575283E-2</v>
      </c>
      <c r="AT39" s="121">
        <f t="shared" si="3"/>
        <v>-6.6075913574943954E-2</v>
      </c>
      <c r="AU39" s="50">
        <f t="shared" si="3"/>
        <v>-5.6712002714704723E-2</v>
      </c>
      <c r="AV39" s="50">
        <f t="shared" si="3"/>
        <v>-4.7066877958193851E-2</v>
      </c>
      <c r="AW39" s="121">
        <f t="shared" si="3"/>
        <v>-5.1889440336449273E-2</v>
      </c>
      <c r="AX39" s="50">
        <f t="shared" si="3"/>
        <v>-5.6156118122448695E-2</v>
      </c>
      <c r="AY39" s="50">
        <f t="shared" si="3"/>
        <v>-4.5420944388572124E-2</v>
      </c>
      <c r="AZ39" s="121">
        <f t="shared" si="3"/>
        <v>-5.0788531255510416E-2</v>
      </c>
    </row>
    <row r="40" spans="1:52" ht="15.5" thickTop="1" x14ac:dyDescent="0.75">
      <c r="A40" t="s">
        <v>43</v>
      </c>
      <c r="AL40" s="51">
        <f>+AL46-AL53-AL60</f>
        <v>-8.5283014900924742E-2</v>
      </c>
      <c r="AM40" s="52">
        <f>+AM46-AM53-AM60</f>
        <v>-8.8714319740623854E-2</v>
      </c>
      <c r="AN40" s="137"/>
      <c r="AO40" s="53">
        <f>+AO46-AO53-AO60</f>
        <v>-7.4877562163846931E-2</v>
      </c>
      <c r="AP40" s="52">
        <f>+AP46-AP53-AP60</f>
        <v>-6.9307581694044038E-2</v>
      </c>
      <c r="AQ40" s="137"/>
      <c r="AR40" s="53">
        <f>+AR46-AR53-AR60</f>
        <v>-7.1283925493095313E-2</v>
      </c>
      <c r="AS40" s="54">
        <f>+AS46-AS53-AS60</f>
        <v>-6.3102614357024342E-2</v>
      </c>
      <c r="AU40" s="55">
        <f>+AU46-AU53-AU60</f>
        <v>-5.2071422652446762E-2</v>
      </c>
      <c r="AV40" s="56">
        <f>+AV46-AV53-AV60</f>
        <v>-5.1819990339795861E-2</v>
      </c>
      <c r="AX40" s="55">
        <f>+AX46-AX53-AX60</f>
        <v>-5.0438746488025224E-2</v>
      </c>
      <c r="AY40" s="56">
        <f>+AY46-AY53-AY60</f>
        <v>-5.0430582505264485E-2</v>
      </c>
    </row>
    <row r="41" spans="1:52" ht="15.5" thickBot="1" x14ac:dyDescent="0.9">
      <c r="A41" t="s">
        <v>44</v>
      </c>
      <c r="AL41" s="57">
        <f>+AL47-AL54-AL61</f>
        <v>-8.0283014900924737E-2</v>
      </c>
      <c r="AM41" s="58">
        <f>+AM47-AM54-AM61</f>
        <v>-8.6214319740623852E-2</v>
      </c>
      <c r="AN41" s="124" t="str">
        <f>IF(ABS(AVERAGE(AL40:AM41)-AN39)&gt;0.001,"check","")</f>
        <v/>
      </c>
      <c r="AO41" s="59">
        <f>+AO47-AO54-AO61</f>
        <v>-7.387756216384693E-2</v>
      </c>
      <c r="AP41" s="58">
        <f>+AP47-AP54-AP61</f>
        <v>-6.5307581694044034E-2</v>
      </c>
      <c r="AQ41" s="124" t="str">
        <f>IF(ABS(AVERAGE(AO40:AP41)-AQ39)&gt;0.001,"check","")</f>
        <v/>
      </c>
      <c r="AR41" s="59">
        <f>+AR47-AR54-AR61</f>
        <v>-7.0283925493095312E-2</v>
      </c>
      <c r="AS41" s="60">
        <f>+AS47-AS54-AS61</f>
        <v>-6.2602614357024342E-2</v>
      </c>
      <c r="AT41" s="122" t="str">
        <f>IF(ABS(AVERAGE(AR40:AS41)-AT39)&gt;0.001,"check","")</f>
        <v/>
      </c>
      <c r="AU41" s="55">
        <f>+AU47-AU54-AU61</f>
        <v>-5.1371422652446756E-2</v>
      </c>
      <c r="AV41" s="56">
        <f>+AV47-AV54-AV61</f>
        <v>-5.031999033979586E-2</v>
      </c>
      <c r="AW41" s="135" t="str">
        <f>IF(ABS(AVERAGE(AU40:AV41)-AW39)&gt;0.001,"check","")</f>
        <v/>
      </c>
      <c r="AX41" s="55">
        <f>+AX47-AX54-AX61</f>
        <v>-5.0438746488025224E-2</v>
      </c>
      <c r="AY41" s="56">
        <f>+AY47-AY54-AY61</f>
        <v>-4.9430582505264484E-2</v>
      </c>
      <c r="AZ41" s="135" t="str">
        <f>IF(ABS(AVERAGE(AX40:AY41)-AZ39)&gt;0.001,"check","")</f>
        <v/>
      </c>
    </row>
    <row r="42" spans="1:52" ht="15.5" thickTop="1" x14ac:dyDescent="0.75"/>
    <row r="43" spans="1:52" ht="16.5" customHeight="1" x14ac:dyDescent="0.75">
      <c r="A43" s="61" t="str">
        <f>+A28</f>
        <v>Grev in % of GDP</v>
      </c>
      <c r="AI43" s="15">
        <f t="shared" ref="AI43:AZ43" si="4">+AI28</f>
        <v>0.17084367252697466</v>
      </c>
      <c r="AJ43" s="15">
        <f t="shared" si="4"/>
        <v>0.16038579984665441</v>
      </c>
      <c r="AK43" s="114">
        <f t="shared" si="4"/>
        <v>0.16546014323811883</v>
      </c>
      <c r="AL43" s="15">
        <f t="shared" si="4"/>
        <v>0.17315283290685277</v>
      </c>
      <c r="AM43" s="15">
        <f t="shared" si="4"/>
        <v>0.17938021640550875</v>
      </c>
      <c r="AN43" s="114">
        <f t="shared" si="4"/>
        <v>0.17626652465618078</v>
      </c>
      <c r="AO43" s="15">
        <f t="shared" si="4"/>
        <v>0.17779479740913423</v>
      </c>
      <c r="AP43" s="15">
        <f t="shared" si="4"/>
        <v>0.18988120195443273</v>
      </c>
      <c r="AQ43" s="114">
        <f t="shared" si="4"/>
        <v>0.18383799968178346</v>
      </c>
      <c r="AR43" s="15">
        <f t="shared" si="4"/>
        <v>0.18213716595259069</v>
      </c>
      <c r="AS43" s="15">
        <f t="shared" si="4"/>
        <v>0.19359754674764112</v>
      </c>
      <c r="AT43" s="114">
        <f t="shared" si="4"/>
        <v>0.18786735635011592</v>
      </c>
      <c r="AU43" s="15">
        <f t="shared" si="4"/>
        <v>0.18405881902682247</v>
      </c>
      <c r="AV43" s="15">
        <f t="shared" si="4"/>
        <v>0.19565371329252165</v>
      </c>
      <c r="AW43" s="114">
        <f t="shared" si="4"/>
        <v>0.18985626615967205</v>
      </c>
      <c r="AX43" s="15">
        <f t="shared" si="4"/>
        <v>0.18667845957801069</v>
      </c>
      <c r="AY43" s="15">
        <f t="shared" si="4"/>
        <v>0.19841380690425825</v>
      </c>
      <c r="AZ43" s="114">
        <f t="shared" si="4"/>
        <v>0.19254613324113448</v>
      </c>
    </row>
    <row r="44" spans="1:52" ht="16.5" customHeight="1" x14ac:dyDescent="0.75">
      <c r="A44" s="93" t="str">
        <f>+A51</f>
        <v xml:space="preserve">correction </v>
      </c>
      <c r="AI44" s="15"/>
      <c r="AJ44" s="15"/>
      <c r="AK44" s="114"/>
      <c r="AL44" s="48">
        <v>0</v>
      </c>
      <c r="AM44" s="48">
        <f>-AL44</f>
        <v>0</v>
      </c>
      <c r="AN44" s="94">
        <f>+AL44+AM44</f>
        <v>0</v>
      </c>
      <c r="AO44" s="94">
        <v>3.0000000000000001E-3</v>
      </c>
      <c r="AP44" s="94">
        <f>-AO44</f>
        <v>-3.0000000000000001E-3</v>
      </c>
      <c r="AQ44" s="94">
        <f>+AO44+AP44</f>
        <v>0</v>
      </c>
      <c r="AR44" s="94">
        <v>5.0000000000000001E-3</v>
      </c>
      <c r="AS44" s="94">
        <f>-AR44</f>
        <v>-5.0000000000000001E-3</v>
      </c>
      <c r="AT44" s="94">
        <f>+AR44+AS44</f>
        <v>0</v>
      </c>
      <c r="AU44" s="94">
        <v>5.0000000000000001E-3</v>
      </c>
      <c r="AV44" s="94">
        <f>-AU44</f>
        <v>-5.0000000000000001E-3</v>
      </c>
      <c r="AW44" s="94">
        <f>+AU44+AV44</f>
        <v>0</v>
      </c>
      <c r="AX44" s="94">
        <v>5.0000000000000001E-3</v>
      </c>
      <c r="AY44" s="94">
        <f>-AX44</f>
        <v>-5.0000000000000001E-3</v>
      </c>
      <c r="AZ44" s="94">
        <f>+AX44+AY44</f>
        <v>0</v>
      </c>
    </row>
    <row r="45" spans="1:52" ht="16.5" customHeight="1" thickBot="1" x14ac:dyDescent="0.9">
      <c r="A45" s="49" t="s">
        <v>64</v>
      </c>
      <c r="AI45" s="15"/>
      <c r="AJ45" s="15"/>
      <c r="AK45" s="114">
        <f>+AK43</f>
        <v>0.16546014323811883</v>
      </c>
      <c r="AL45" s="50">
        <f>+AL43+AL44</f>
        <v>0.17315283290685277</v>
      </c>
      <c r="AM45" s="50">
        <f t="shared" ref="AM45:AN45" si="5">+AM43+AM44</f>
        <v>0.17938021640550875</v>
      </c>
      <c r="AN45" s="121">
        <f t="shared" si="5"/>
        <v>0.17626652465618078</v>
      </c>
      <c r="AO45" s="50">
        <f>+AO43+AO44</f>
        <v>0.18079479740913423</v>
      </c>
      <c r="AP45" s="50">
        <f t="shared" ref="AP45:AQ45" si="6">+AP43+AP44</f>
        <v>0.18688120195443272</v>
      </c>
      <c r="AQ45" s="121">
        <f t="shared" si="6"/>
        <v>0.18383799968178346</v>
      </c>
      <c r="AR45" s="50">
        <f>+AR43+AR44</f>
        <v>0.18713716595259069</v>
      </c>
      <c r="AS45" s="50">
        <f t="shared" ref="AS45:AT45" si="7">+AS43+AS44</f>
        <v>0.18859754674764112</v>
      </c>
      <c r="AT45" s="121">
        <f t="shared" si="7"/>
        <v>0.18786735635011592</v>
      </c>
      <c r="AU45" s="50">
        <f>+AU43+AU44</f>
        <v>0.18905881902682248</v>
      </c>
      <c r="AV45" s="50">
        <f t="shared" ref="AV45:AW45" si="8">+AV43+AV44</f>
        <v>0.19065371329252165</v>
      </c>
      <c r="AW45" s="121">
        <f t="shared" si="8"/>
        <v>0.18985626615967205</v>
      </c>
      <c r="AX45" s="50">
        <f>+AX43+AX44</f>
        <v>0.19167845957801069</v>
      </c>
      <c r="AY45" s="50">
        <f t="shared" ref="AY45:AZ45" si="9">+AY43+AY44</f>
        <v>0.19341380690425825</v>
      </c>
      <c r="AZ45" s="121">
        <f t="shared" si="9"/>
        <v>0.19254613324113448</v>
      </c>
    </row>
    <row r="46" spans="1:52" ht="15.5" thickTop="1" x14ac:dyDescent="0.75">
      <c r="A46" t="s">
        <v>45</v>
      </c>
      <c r="AI46" s="56">
        <f>+AI43-AI48</f>
        <v>0.16884367252697466</v>
      </c>
      <c r="AJ46" s="56">
        <f>+AI47+AJ48</f>
        <v>0.16434367252697465</v>
      </c>
      <c r="AK46" s="123"/>
      <c r="AL46" s="51">
        <v>0.17</v>
      </c>
      <c r="AM46" s="52">
        <f>+AL47+AM48</f>
        <v>0.17750000000000002</v>
      </c>
      <c r="AN46" s="138"/>
      <c r="AO46" s="53">
        <f>+AM47</f>
        <v>0.18000000000000002</v>
      </c>
      <c r="AP46" s="52">
        <f>+AO47+AP48</f>
        <v>0.18500000000000003</v>
      </c>
      <c r="AQ46" s="138"/>
      <c r="AR46" s="53">
        <f>+AP47-0.003</f>
        <v>0.18600000000000003</v>
      </c>
      <c r="AS46" s="54">
        <f>+AR47+AS48</f>
        <v>0.18750000000000003</v>
      </c>
      <c r="AT46" s="123"/>
      <c r="AU46" s="55">
        <f>+AS47+AU48</f>
        <v>0.18870000000000003</v>
      </c>
      <c r="AV46" s="56">
        <f>+AU47+AV48</f>
        <v>0.19090000000000004</v>
      </c>
      <c r="AW46" s="123"/>
      <c r="AX46" s="55">
        <f>+AV47+AX48</f>
        <v>0.19240000000000004</v>
      </c>
      <c r="AY46" s="56">
        <f>+AX47+AY48</f>
        <v>0.19340000000000004</v>
      </c>
      <c r="AZ46" s="114"/>
    </row>
    <row r="47" spans="1:52" ht="15.5" thickBot="1" x14ac:dyDescent="0.9">
      <c r="A47" t="s">
        <v>46</v>
      </c>
      <c r="AI47" s="56">
        <f>+AI43+AI48</f>
        <v>0.17284367252697466</v>
      </c>
      <c r="AJ47" s="56">
        <f>+AJ46+AJ48</f>
        <v>0.15584367252697465</v>
      </c>
      <c r="AK47" s="124" t="str">
        <f>IF(ABS(AVERAGE(AI46:AJ47)-AK45)&gt;0.1,"check","")</f>
        <v/>
      </c>
      <c r="AL47" s="57">
        <f>+AL46+AL48</f>
        <v>0.17500000000000002</v>
      </c>
      <c r="AM47" s="58">
        <f>+AM46+AM48</f>
        <v>0.18000000000000002</v>
      </c>
      <c r="AN47" s="124" t="str">
        <f>IF(ABS(AVERAGE(AL46:AM47)-AN45)&gt;0.001,"check","")</f>
        <v/>
      </c>
      <c r="AO47" s="59">
        <f>+AO46+AO48</f>
        <v>0.18100000000000002</v>
      </c>
      <c r="AP47" s="58">
        <f>+AP46+AP48</f>
        <v>0.18900000000000003</v>
      </c>
      <c r="AQ47" s="124" t="str">
        <f>IF(ABS(AVERAGE(AO46:AP47)-AQ45)&gt;0.001,"check","")</f>
        <v/>
      </c>
      <c r="AR47" s="59">
        <f>+AR46+AR48</f>
        <v>0.18700000000000003</v>
      </c>
      <c r="AS47" s="60">
        <f>+AS46+AS48</f>
        <v>0.18800000000000003</v>
      </c>
      <c r="AT47" s="124" t="str">
        <f>IF(ABS(AVERAGE(AR46:AS47)-AT45)&gt;0.001,"check","")</f>
        <v/>
      </c>
      <c r="AU47" s="55">
        <f>+AU46+AU48</f>
        <v>0.18940000000000004</v>
      </c>
      <c r="AV47" s="56">
        <f>+AV46+AV48</f>
        <v>0.19240000000000004</v>
      </c>
      <c r="AW47" s="124" t="str">
        <f>IF(ABS(AVERAGE(AU46:AV47)-AW45)&gt;0.001,"check","")</f>
        <v/>
      </c>
      <c r="AX47" s="55">
        <f>+AX46+AX48</f>
        <v>0.19240000000000004</v>
      </c>
      <c r="AY47" s="56">
        <f>+AY46+AY48</f>
        <v>0.19440000000000004</v>
      </c>
      <c r="AZ47" s="124" t="str">
        <f>IF(ABS(AVERAGE(AX46:AY47)-AZ45)&gt;0.001,"check","")</f>
        <v/>
      </c>
    </row>
    <row r="48" spans="1:52" ht="15.5" thickTop="1" x14ac:dyDescent="0.75">
      <c r="AI48" s="62">
        <v>2E-3</v>
      </c>
      <c r="AJ48" s="62">
        <v>-8.5000000000000006E-3</v>
      </c>
      <c r="AK48" s="125">
        <f>+AVERAGE(AI46:AJ47)</f>
        <v>0.16546867252697464</v>
      </c>
      <c r="AL48" s="62">
        <v>5.0000000000000001E-3</v>
      </c>
      <c r="AM48" s="62">
        <v>2.5000000000000001E-3</v>
      </c>
      <c r="AN48" s="125">
        <f>+AVERAGE(AL46:AM47)</f>
        <v>0.17562500000000003</v>
      </c>
      <c r="AO48" s="62">
        <v>1E-3</v>
      </c>
      <c r="AP48" s="62">
        <v>4.0000000000000001E-3</v>
      </c>
      <c r="AQ48" s="125">
        <f>+AVERAGE(AO46:AP47)</f>
        <v>0.18375000000000002</v>
      </c>
      <c r="AR48" s="62">
        <v>1E-3</v>
      </c>
      <c r="AS48" s="62">
        <v>5.0000000000000001E-4</v>
      </c>
      <c r="AT48" s="125">
        <f>+AVERAGE(AR46:AS47)</f>
        <v>0.18712500000000004</v>
      </c>
      <c r="AU48" s="62">
        <v>6.9999999999999999E-4</v>
      </c>
      <c r="AV48" s="62">
        <v>1.5E-3</v>
      </c>
      <c r="AW48" s="125">
        <f>+AVERAGE(AU46:AV47)</f>
        <v>0.19035000000000002</v>
      </c>
      <c r="AX48" s="62">
        <v>0</v>
      </c>
      <c r="AY48" s="62">
        <v>1E-3</v>
      </c>
      <c r="AZ48" s="125">
        <f>+AVERAGE(AX46:AY47)</f>
        <v>0.19315000000000004</v>
      </c>
    </row>
    <row r="49" spans="1:55" x14ac:dyDescent="0.75">
      <c r="AI49" s="62"/>
      <c r="AJ49" s="62"/>
      <c r="AK49" s="125"/>
      <c r="AL49" s="62"/>
      <c r="AM49" s="62"/>
      <c r="AN49" s="125"/>
      <c r="AO49" s="62"/>
      <c r="AP49" s="62"/>
      <c r="AQ49" s="125"/>
      <c r="AR49" s="62"/>
      <c r="AS49" s="62"/>
      <c r="AT49" s="125"/>
      <c r="AU49" s="62"/>
      <c r="AV49" s="62"/>
      <c r="AW49" s="125"/>
      <c r="AX49" s="62"/>
      <c r="AY49" s="62"/>
      <c r="AZ49" s="125"/>
    </row>
    <row r="50" spans="1:55" ht="15.5" customHeight="1" x14ac:dyDescent="0.75">
      <c r="A50" s="61" t="str">
        <f>+A29</f>
        <v>Gdem in % of GDP</v>
      </c>
      <c r="AI50" s="15">
        <f t="shared" ref="AI50:AZ50" si="10">+AI29</f>
        <v>0.21314772338168717</v>
      </c>
      <c r="AJ50" s="15">
        <f t="shared" si="10"/>
        <v>0.18865090699938322</v>
      </c>
      <c r="AK50" s="114">
        <f t="shared" si="10"/>
        <v>0.20053719230054018</v>
      </c>
      <c r="AL50" s="15">
        <f t="shared" si="10"/>
        <v>0.19813555433892682</v>
      </c>
      <c r="AM50" s="15">
        <f t="shared" si="10"/>
        <v>0.19275029848561318</v>
      </c>
      <c r="AN50" s="114">
        <f t="shared" si="10"/>
        <v>0.19544292641226998</v>
      </c>
      <c r="AO50" s="15">
        <f t="shared" si="10"/>
        <v>0.21738571671796855</v>
      </c>
      <c r="AP50" s="15">
        <f t="shared" si="10"/>
        <v>0.17678547687735396</v>
      </c>
      <c r="AQ50" s="114">
        <f t="shared" si="10"/>
        <v>0.19708559679766124</v>
      </c>
      <c r="AR50" s="15">
        <f t="shared" si="10"/>
        <v>0.22212512617462274</v>
      </c>
      <c r="AS50" s="15">
        <f t="shared" si="10"/>
        <v>0.18788494332962288</v>
      </c>
      <c r="AT50" s="114">
        <f t="shared" si="10"/>
        <v>0.20500503475212281</v>
      </c>
      <c r="AU50" s="15">
        <f t="shared" si="10"/>
        <v>0.22020260295952249</v>
      </c>
      <c r="AV50" s="15">
        <f t="shared" si="10"/>
        <v>0.19221900262116215</v>
      </c>
      <c r="AW50" s="114">
        <f t="shared" si="10"/>
        <v>0.20621080279034229</v>
      </c>
      <c r="AX50" s="15">
        <f t="shared" si="10"/>
        <v>0.22469142014588581</v>
      </c>
      <c r="AY50" s="15">
        <f t="shared" si="10"/>
        <v>0.19782906347200577</v>
      </c>
      <c r="AZ50" s="114">
        <f t="shared" si="10"/>
        <v>0.21126024180894573</v>
      </c>
    </row>
    <row r="51" spans="1:55" x14ac:dyDescent="0.75">
      <c r="A51" s="63" t="s">
        <v>47</v>
      </c>
      <c r="AI51" s="64">
        <v>0</v>
      </c>
      <c r="AJ51" s="64">
        <f>-AI51</f>
        <v>0</v>
      </c>
      <c r="AK51" s="95">
        <f>+AI51+AJ51</f>
        <v>0</v>
      </c>
      <c r="AL51" s="94">
        <v>-5.0000000000000001E-3</v>
      </c>
      <c r="AM51" s="94">
        <f>-AL51</f>
        <v>5.0000000000000001E-3</v>
      </c>
      <c r="AN51" s="95">
        <f>+AL51+AM51</f>
        <v>0</v>
      </c>
      <c r="AO51" s="95">
        <v>-0.02</v>
      </c>
      <c r="AP51" s="95">
        <f>-AO51</f>
        <v>0.02</v>
      </c>
      <c r="AQ51" s="95">
        <f>+AO51+AP51</f>
        <v>0</v>
      </c>
      <c r="AR51" s="94">
        <v>-1.7999999999999999E-2</v>
      </c>
      <c r="AS51" s="94">
        <f>-AR51</f>
        <v>1.7999999999999999E-2</v>
      </c>
      <c r="AT51" s="95">
        <f>+AR51+AS51</f>
        <v>0</v>
      </c>
      <c r="AU51" s="94">
        <v>-1.4999999999999999E-2</v>
      </c>
      <c r="AV51" s="94">
        <f>-AU51</f>
        <v>1.4999999999999999E-2</v>
      </c>
      <c r="AW51" s="95">
        <f>+AU51+AV51</f>
        <v>0</v>
      </c>
      <c r="AX51" s="94">
        <v>-1.4999999999999999E-2</v>
      </c>
      <c r="AY51" s="94">
        <f>-AX51</f>
        <v>1.4999999999999999E-2</v>
      </c>
      <c r="AZ51" s="95">
        <f>+AX51+AY51</f>
        <v>0</v>
      </c>
    </row>
    <row r="52" spans="1:55" ht="15.5" thickBot="1" x14ac:dyDescent="0.9">
      <c r="A52" s="49" t="s">
        <v>65</v>
      </c>
      <c r="AI52" s="65">
        <f t="shared" ref="AI52:AZ52" si="11">+AI50+AI51</f>
        <v>0.21314772338168717</v>
      </c>
      <c r="AJ52" s="65">
        <f t="shared" si="11"/>
        <v>0.18865090699938322</v>
      </c>
      <c r="AK52" s="126">
        <f t="shared" si="11"/>
        <v>0.20053719230054018</v>
      </c>
      <c r="AL52" s="65">
        <f t="shared" si="11"/>
        <v>0.19313555433892682</v>
      </c>
      <c r="AM52" s="65">
        <f t="shared" si="11"/>
        <v>0.19775029848561318</v>
      </c>
      <c r="AN52" s="126">
        <f t="shared" si="11"/>
        <v>0.19544292641226998</v>
      </c>
      <c r="AO52" s="65">
        <f t="shared" si="11"/>
        <v>0.19738571671796856</v>
      </c>
      <c r="AP52" s="65">
        <f t="shared" si="11"/>
        <v>0.19678547687735395</v>
      </c>
      <c r="AQ52" s="126">
        <f t="shared" si="11"/>
        <v>0.19708559679766124</v>
      </c>
      <c r="AR52" s="65">
        <f t="shared" si="11"/>
        <v>0.20412512617462275</v>
      </c>
      <c r="AS52" s="65">
        <f t="shared" si="11"/>
        <v>0.20588494332962287</v>
      </c>
      <c r="AT52" s="126">
        <f t="shared" si="11"/>
        <v>0.20500503475212281</v>
      </c>
      <c r="AU52" s="65">
        <f t="shared" si="11"/>
        <v>0.20520260295952247</v>
      </c>
      <c r="AV52" s="65">
        <f t="shared" si="11"/>
        <v>0.20721900262116216</v>
      </c>
      <c r="AW52" s="126">
        <f t="shared" si="11"/>
        <v>0.20621080279034229</v>
      </c>
      <c r="AX52" s="65">
        <f t="shared" si="11"/>
        <v>0.20969142014588582</v>
      </c>
      <c r="AY52" s="65">
        <f t="shared" si="11"/>
        <v>0.21282906347200575</v>
      </c>
      <c r="AZ52" s="126">
        <f t="shared" si="11"/>
        <v>0.21126024180894573</v>
      </c>
    </row>
    <row r="53" spans="1:55" ht="15.5" thickTop="1" x14ac:dyDescent="0.75">
      <c r="A53" t="s">
        <v>48</v>
      </c>
      <c r="AI53" s="15"/>
      <c r="AJ53" s="56"/>
      <c r="AK53" s="127"/>
      <c r="AL53" s="51">
        <f>+AL52</f>
        <v>0.19313555433892682</v>
      </c>
      <c r="AM53" s="53">
        <f>+AM52</f>
        <v>0.19775029848561318</v>
      </c>
      <c r="AN53" s="139"/>
      <c r="AO53" s="53">
        <f>+AO52</f>
        <v>0.19738571671796856</v>
      </c>
      <c r="AP53" s="53">
        <f>+AP52</f>
        <v>0.19678547687735395</v>
      </c>
      <c r="AQ53" s="139"/>
      <c r="AR53" s="53">
        <f>+AR52</f>
        <v>0.20412512617462275</v>
      </c>
      <c r="AS53" s="70">
        <f>+AS52</f>
        <v>0.20588494332962287</v>
      </c>
      <c r="AT53" s="127"/>
      <c r="AU53" s="55">
        <f>+AU52</f>
        <v>0.20520260295952247</v>
      </c>
      <c r="AV53" s="55">
        <f>+AV52</f>
        <v>0.20721900262116216</v>
      </c>
      <c r="AW53" s="127"/>
      <c r="AX53" s="55">
        <f>+AX52</f>
        <v>0.20969142014588582</v>
      </c>
      <c r="AY53" s="55">
        <f>+AY52</f>
        <v>0.21282906347200575</v>
      </c>
      <c r="AZ53" s="127"/>
    </row>
    <row r="54" spans="1:55" ht="15.5" thickBot="1" x14ac:dyDescent="0.9">
      <c r="A54" t="str">
        <f>+A47</f>
        <v xml:space="preserve">                                                 second Q in sem</v>
      </c>
      <c r="AI54" s="15"/>
      <c r="AJ54" s="56"/>
      <c r="AK54" s="127"/>
      <c r="AL54" s="57">
        <f>+AL52</f>
        <v>0.19313555433892682</v>
      </c>
      <c r="AM54" s="59">
        <f>+AM52</f>
        <v>0.19775029848561318</v>
      </c>
      <c r="AN54" s="124" t="str">
        <f>IF(ABS(AVERAGE(AL53:AM54)-AN52)&gt;0.1,"check","")</f>
        <v/>
      </c>
      <c r="AO54" s="59">
        <f>+AO52</f>
        <v>0.19738571671796856</v>
      </c>
      <c r="AP54" s="59">
        <f>+AP52</f>
        <v>0.19678547687735395</v>
      </c>
      <c r="AQ54" s="124" t="str">
        <f>IF(ABS(AVERAGE(AO53:AP54)-AQ52)&gt;0.1,"check","")</f>
        <v/>
      </c>
      <c r="AR54" s="59">
        <f>+AR52</f>
        <v>0.20412512617462275</v>
      </c>
      <c r="AS54" s="71">
        <f>+AS52</f>
        <v>0.20588494332962287</v>
      </c>
      <c r="AT54" s="128" t="str">
        <f>IF(ABS(AVERAGE(AR53:AS54)-AT52)&gt;0.1,"check","")</f>
        <v/>
      </c>
      <c r="AU54" s="55">
        <f>+AU52</f>
        <v>0.20520260295952247</v>
      </c>
      <c r="AV54" s="55">
        <f>+AV52</f>
        <v>0.20721900262116216</v>
      </c>
      <c r="AW54" s="130" t="str">
        <f>IF(ABS(AVERAGE(AU53:AV54)-AW52)&gt;0.1,"check","")</f>
        <v/>
      </c>
      <c r="AX54" s="55">
        <f>+AX52</f>
        <v>0.20969142014588582</v>
      </c>
      <c r="AY54" s="55">
        <f>+AY52</f>
        <v>0.21282906347200575</v>
      </c>
      <c r="AZ54" s="130" t="str">
        <f>IF(ABS(AVERAGE(AX53:AY54)-AZ52)&gt;0.1,"check","")</f>
        <v/>
      </c>
    </row>
    <row r="55" spans="1:55" ht="15.5" thickTop="1" x14ac:dyDescent="0.75">
      <c r="AI55" s="15"/>
      <c r="AJ55" s="15"/>
      <c r="AK55" s="114"/>
      <c r="AL55" s="15"/>
      <c r="AM55" s="15"/>
      <c r="AN55" s="114"/>
      <c r="AO55" s="15"/>
      <c r="AP55" s="15"/>
      <c r="AQ55" s="114"/>
      <c r="AR55" s="15"/>
      <c r="AS55" s="15"/>
      <c r="AT55" s="114"/>
      <c r="AU55" s="15"/>
      <c r="AV55" s="15"/>
      <c r="AW55" s="114"/>
      <c r="AX55" s="15"/>
      <c r="AY55" s="15"/>
      <c r="AZ55" s="114"/>
    </row>
    <row r="56" spans="1:55" x14ac:dyDescent="0.75">
      <c r="A56" s="61" t="str">
        <f>+A30</f>
        <v>Other Expenditure of %GDP</v>
      </c>
      <c r="AI56" s="15">
        <f t="shared" ref="AI56:AZ56" si="12">+AI30</f>
        <v>5.0723582380508878E-2</v>
      </c>
      <c r="AJ56" s="15">
        <f t="shared" si="12"/>
        <v>4.595330829542054E-2</v>
      </c>
      <c r="AK56" s="114">
        <f t="shared" si="12"/>
        <v>4.8267929014096267E-2</v>
      </c>
      <c r="AL56" s="15">
        <f t="shared" si="12"/>
        <v>6.2147460561997943E-2</v>
      </c>
      <c r="AM56" s="15">
        <f t="shared" si="12"/>
        <v>6.8464021255010693E-2</v>
      </c>
      <c r="AN56" s="114">
        <f t="shared" si="12"/>
        <v>6.5305740908504314E-2</v>
      </c>
      <c r="AO56" s="15">
        <f t="shared" si="12"/>
        <v>5.749184544587839E-2</v>
      </c>
      <c r="AP56" s="15">
        <f t="shared" si="12"/>
        <v>5.7522104816690109E-2</v>
      </c>
      <c r="AQ56" s="114">
        <f t="shared" si="12"/>
        <v>5.7506975131284256E-2</v>
      </c>
      <c r="AR56" s="15">
        <f t="shared" si="12"/>
        <v>5.3158799318472595E-2</v>
      </c>
      <c r="AS56" s="15">
        <f t="shared" si="12"/>
        <v>4.4717671027401498E-2</v>
      </c>
      <c r="AT56" s="114">
        <f t="shared" si="12"/>
        <v>4.8938235172937043E-2</v>
      </c>
      <c r="AU56" s="15">
        <f t="shared" si="12"/>
        <v>3.5568819692924324E-2</v>
      </c>
      <c r="AV56" s="15">
        <f t="shared" si="12"/>
        <v>3.5500987718633741E-2</v>
      </c>
      <c r="AW56" s="114">
        <f t="shared" si="12"/>
        <v>3.5534903705779032E-2</v>
      </c>
      <c r="AX56" s="15">
        <f t="shared" si="12"/>
        <v>3.3147326342139447E-2</v>
      </c>
      <c r="AY56" s="15">
        <f t="shared" si="12"/>
        <v>3.1001519033258772E-2</v>
      </c>
      <c r="AZ56" s="114">
        <f t="shared" si="12"/>
        <v>3.2074422687699104E-2</v>
      </c>
    </row>
    <row r="57" spans="1:55" s="66" customFormat="1" x14ac:dyDescent="0.75">
      <c r="A57" s="66" t="s">
        <v>49</v>
      </c>
      <c r="AF57" s="67"/>
      <c r="AG57" s="67"/>
      <c r="AH57" s="67"/>
      <c r="AI57" s="67">
        <f>+AI69</f>
        <v>0</v>
      </c>
      <c r="AJ57" s="67"/>
      <c r="AK57" s="129">
        <f t="shared" ref="AK57" si="13">+AK69</f>
        <v>3.5550430472671372E-3</v>
      </c>
      <c r="AL57" s="68">
        <f t="shared" ref="AL57:AZ57" si="14">+AL69</f>
        <v>3.7277171331734922E-2</v>
      </c>
      <c r="AM57" s="68">
        <f t="shared" si="14"/>
        <v>5.4785913549554137E-2</v>
      </c>
      <c r="AN57" s="129">
        <f t="shared" si="14"/>
        <v>4.6031542440644529E-2</v>
      </c>
      <c r="AO57" s="68">
        <f t="shared" si="14"/>
        <v>3.3923685167178079E-2</v>
      </c>
      <c r="AP57" s="68">
        <f t="shared" si="14"/>
        <v>3.9198390972127059E-2</v>
      </c>
      <c r="AQ57" s="129">
        <f t="shared" si="14"/>
        <v>3.6561038069652572E-2</v>
      </c>
      <c r="AR57" s="68">
        <f t="shared" si="14"/>
        <v>3.3391888487969368E-2</v>
      </c>
      <c r="AS57" s="68">
        <f t="shared" si="14"/>
        <v>1.8962175027440388E-2</v>
      </c>
      <c r="AT57" s="129">
        <f t="shared" si="14"/>
        <v>2.6177031757704878E-2</v>
      </c>
      <c r="AU57" s="68">
        <f t="shared" si="14"/>
        <v>2.4223295422375626E-3</v>
      </c>
      <c r="AV57" s="68">
        <f t="shared" si="14"/>
        <v>2.4282105743104322E-3</v>
      </c>
      <c r="AW57" s="129">
        <f t="shared" si="14"/>
        <v>2.4252700582739974E-3</v>
      </c>
      <c r="AX57" s="68">
        <f t="shared" si="14"/>
        <v>1.9440881185176268E-3</v>
      </c>
      <c r="AY57" s="68">
        <f t="shared" si="14"/>
        <v>2.0424927645828427E-3</v>
      </c>
      <c r="AZ57" s="129">
        <f t="shared" si="14"/>
        <v>1.9932904415502347E-3</v>
      </c>
    </row>
    <row r="58" spans="1:55" s="63" customFormat="1" x14ac:dyDescent="0.75">
      <c r="A58" s="63" t="str">
        <f>+A38</f>
        <v xml:space="preserve">correction </v>
      </c>
      <c r="AF58" s="69"/>
      <c r="AG58" s="69"/>
      <c r="AH58" s="69"/>
      <c r="AI58" s="64">
        <v>0</v>
      </c>
      <c r="AJ58" s="64">
        <v>0</v>
      </c>
      <c r="AK58" s="95">
        <v>0</v>
      </c>
      <c r="AL58" s="64">
        <v>0</v>
      </c>
      <c r="AM58" s="64">
        <f>-AL58</f>
        <v>0</v>
      </c>
      <c r="AN58" s="95">
        <f>+AL58+AM58</f>
        <v>0</v>
      </c>
      <c r="AO58" s="64">
        <v>0</v>
      </c>
      <c r="AP58" s="64">
        <f>-AO58</f>
        <v>0</v>
      </c>
      <c r="AQ58" s="95">
        <f>+AO58+AP58</f>
        <v>0</v>
      </c>
      <c r="AR58" s="64">
        <v>0</v>
      </c>
      <c r="AS58" s="64">
        <f>-AR58</f>
        <v>0</v>
      </c>
      <c r="AT58" s="95">
        <f>+AR58+AS58</f>
        <v>0</v>
      </c>
      <c r="AU58" s="64">
        <v>0</v>
      </c>
      <c r="AV58" s="64">
        <f>-AU58</f>
        <v>0</v>
      </c>
      <c r="AW58" s="95">
        <f>+AU58+AV58</f>
        <v>0</v>
      </c>
      <c r="AX58" s="64">
        <v>0</v>
      </c>
      <c r="AY58" s="64">
        <f>-AX58</f>
        <v>0</v>
      </c>
      <c r="AZ58" s="95">
        <f>+AX58+AY58</f>
        <v>0</v>
      </c>
      <c r="BA58" s="64"/>
      <c r="BB58" s="64"/>
      <c r="BC58" s="64"/>
    </row>
    <row r="59" spans="1:55" ht="15.5" thickBot="1" x14ac:dyDescent="0.9">
      <c r="A59" s="49" t="s">
        <v>50</v>
      </c>
      <c r="AI59" s="50">
        <f t="shared" ref="AI59:AK59" si="15">+AI56+AI58</f>
        <v>5.0723582380508878E-2</v>
      </c>
      <c r="AJ59" s="50">
        <f t="shared" si="15"/>
        <v>4.595330829542054E-2</v>
      </c>
      <c r="AK59" s="121">
        <f t="shared" si="15"/>
        <v>4.8267929014096267E-2</v>
      </c>
      <c r="AL59" s="50">
        <f>+AL56+AL58</f>
        <v>6.2147460561997943E-2</v>
      </c>
      <c r="AM59" s="50">
        <f t="shared" ref="AM59:AQ59" si="16">+AM56+AM58</f>
        <v>6.8464021255010693E-2</v>
      </c>
      <c r="AN59" s="121">
        <f t="shared" si="16"/>
        <v>6.5305740908504314E-2</v>
      </c>
      <c r="AO59" s="50">
        <f t="shared" si="16"/>
        <v>5.749184544587839E-2</v>
      </c>
      <c r="AP59" s="50">
        <f t="shared" si="16"/>
        <v>5.7522104816690109E-2</v>
      </c>
      <c r="AQ59" s="121">
        <f t="shared" si="16"/>
        <v>5.7506975131284256E-2</v>
      </c>
      <c r="AR59" s="50">
        <f>+AR56+AR58</f>
        <v>5.3158799318472595E-2</v>
      </c>
      <c r="AS59" s="50">
        <f t="shared" ref="AS59:AW59" si="17">+AS56+AS58</f>
        <v>4.4717671027401498E-2</v>
      </c>
      <c r="AT59" s="121">
        <f t="shared" si="17"/>
        <v>4.8938235172937043E-2</v>
      </c>
      <c r="AU59" s="50">
        <f t="shared" si="17"/>
        <v>3.5568819692924324E-2</v>
      </c>
      <c r="AV59" s="50">
        <f t="shared" si="17"/>
        <v>3.5500987718633741E-2</v>
      </c>
      <c r="AW59" s="121">
        <f t="shared" si="17"/>
        <v>3.5534903705779032E-2</v>
      </c>
      <c r="AX59" s="50">
        <f>+AX56+AX58</f>
        <v>3.3147326342139447E-2</v>
      </c>
      <c r="AY59" s="50">
        <f t="shared" ref="AY59:AZ59" si="18">+AY56+AY58</f>
        <v>3.1001519033258772E-2</v>
      </c>
      <c r="AZ59" s="121">
        <f t="shared" si="18"/>
        <v>3.2074422687699104E-2</v>
      </c>
      <c r="BA59" s="50"/>
      <c r="BB59" s="50"/>
      <c r="BC59" s="50"/>
    </row>
    <row r="60" spans="1:55" ht="15.5" thickTop="1" x14ac:dyDescent="0.75">
      <c r="A60" t="s">
        <v>51</v>
      </c>
      <c r="AL60" s="51">
        <f>+AL59</f>
        <v>6.2147460561997943E-2</v>
      </c>
      <c r="AM60" s="53">
        <f>+AM59</f>
        <v>6.8464021255010693E-2</v>
      </c>
      <c r="AN60" s="139"/>
      <c r="AO60" s="53">
        <f>+AO59</f>
        <v>5.749184544587839E-2</v>
      </c>
      <c r="AP60" s="53">
        <f>+AP59</f>
        <v>5.7522104816690109E-2</v>
      </c>
      <c r="AQ60" s="139"/>
      <c r="AR60" s="53">
        <f>+AR59</f>
        <v>5.3158799318472595E-2</v>
      </c>
      <c r="AS60" s="70">
        <f>+AS59</f>
        <v>4.4717671027401498E-2</v>
      </c>
      <c r="AT60" s="127"/>
      <c r="AU60" s="55">
        <f>+AU59</f>
        <v>3.5568819692924324E-2</v>
      </c>
      <c r="AV60" s="55">
        <f>+AV59</f>
        <v>3.5500987718633741E-2</v>
      </c>
      <c r="AW60" s="127"/>
      <c r="AX60" s="55">
        <f>+AX59</f>
        <v>3.3147326342139447E-2</v>
      </c>
      <c r="AY60" s="55">
        <f>+AY59</f>
        <v>3.1001519033258772E-2</v>
      </c>
      <c r="AZ60" s="127"/>
    </row>
    <row r="61" spans="1:55" ht="15.5" thickBot="1" x14ac:dyDescent="0.9">
      <c r="A61" t="str">
        <f>+A54</f>
        <v xml:space="preserve">                                                 second Q in sem</v>
      </c>
      <c r="AL61" s="57">
        <f>+AL59</f>
        <v>6.2147460561997943E-2</v>
      </c>
      <c r="AM61" s="59">
        <f>+AM59</f>
        <v>6.8464021255010693E-2</v>
      </c>
      <c r="AN61" s="124" t="str">
        <f>IF(ABS(AVERAGE(AL60:AM61)-AN59)&gt;0.001,"check","")</f>
        <v/>
      </c>
      <c r="AO61" s="59">
        <f>+AO59</f>
        <v>5.749184544587839E-2</v>
      </c>
      <c r="AP61" s="59">
        <f>+AP59</f>
        <v>5.7522104816690109E-2</v>
      </c>
      <c r="AQ61" s="124" t="str">
        <f>IF(ABS(AVERAGE(AO60:AP61)-AQ59)&gt;0.001,"check","")</f>
        <v/>
      </c>
      <c r="AR61" s="59">
        <f>+AR59</f>
        <v>5.3158799318472595E-2</v>
      </c>
      <c r="AS61" s="71">
        <f>+AS59</f>
        <v>4.4717671027401498E-2</v>
      </c>
      <c r="AT61" s="130" t="str">
        <f>IF(ABS(AVERAGE(AR60:AS61)-AT59)&gt;0.001,"check","")</f>
        <v/>
      </c>
      <c r="AU61" s="55">
        <f>+AU59</f>
        <v>3.5568819692924324E-2</v>
      </c>
      <c r="AV61" s="55">
        <f>+AV59</f>
        <v>3.5500987718633741E-2</v>
      </c>
      <c r="AW61" s="130" t="str">
        <f>IF(ABS(AVERAGE(AU60:AV61)-AW59)&gt;0.001,"check","")</f>
        <v/>
      </c>
      <c r="AX61" s="55">
        <f>+AX59</f>
        <v>3.3147326342139447E-2</v>
      </c>
      <c r="AY61" s="55">
        <f>+AY59</f>
        <v>3.1001519033258772E-2</v>
      </c>
      <c r="AZ61" s="130" t="str">
        <f>IF(ABS(AVERAGE(AX60:AY61)-AZ59)&gt;0.001,"check","")</f>
        <v/>
      </c>
    </row>
    <row r="62" spans="1:55" ht="15.5" thickTop="1" x14ac:dyDescent="0.75">
      <c r="A62" t="s">
        <v>63</v>
      </c>
      <c r="AN62" s="78">
        <f>+AN59-AN57</f>
        <v>1.9274198467859785E-2</v>
      </c>
      <c r="AQ62" s="78">
        <f>+AQ59-AQ57</f>
        <v>2.0945937061631684E-2</v>
      </c>
      <c r="AT62" s="78">
        <f>+AT59-AT57</f>
        <v>2.2761203415232165E-2</v>
      </c>
      <c r="AW62" s="78">
        <f>+AW59-AW57</f>
        <v>3.3109633647505035E-2</v>
      </c>
      <c r="AZ62" s="78">
        <f>+AZ59-AZ57</f>
        <v>3.0081132246148869E-2</v>
      </c>
    </row>
    <row r="64" spans="1:55" ht="13.5" customHeight="1" x14ac:dyDescent="0.75">
      <c r="A64" s="72" t="s">
        <v>52</v>
      </c>
      <c r="AI64" s="73" t="str">
        <f t="shared" ref="AI64:AK64" si="19">+IF(ABS(AI43-AI50-AI56-AI37)&gt;0.1,"check","")</f>
        <v/>
      </c>
      <c r="AJ64" s="74" t="str">
        <f t="shared" si="19"/>
        <v/>
      </c>
      <c r="AK64" s="131" t="str">
        <f t="shared" si="19"/>
        <v/>
      </c>
      <c r="AL64" s="74" t="str">
        <f>+IF(ABS(AL43-AL50-AL56-AL37)&gt;0.1,"check","")</f>
        <v/>
      </c>
      <c r="AM64" s="74" t="str">
        <f t="shared" ref="AM64:AZ64" si="20">+IF(ABS(AM43-AM50-AM56-AM37)&gt;0.1,"check","")</f>
        <v/>
      </c>
      <c r="AN64" s="131" t="str">
        <f t="shared" si="20"/>
        <v/>
      </c>
      <c r="AO64" s="74" t="str">
        <f t="shared" si="20"/>
        <v/>
      </c>
      <c r="AP64" s="74" t="str">
        <f t="shared" si="20"/>
        <v/>
      </c>
      <c r="AQ64" s="131" t="str">
        <f t="shared" si="20"/>
        <v/>
      </c>
      <c r="AR64" s="74" t="str">
        <f t="shared" si="20"/>
        <v/>
      </c>
      <c r="AS64" s="74" t="str">
        <f t="shared" si="20"/>
        <v/>
      </c>
      <c r="AT64" s="131" t="str">
        <f t="shared" si="20"/>
        <v/>
      </c>
      <c r="AU64" s="74" t="str">
        <f t="shared" si="20"/>
        <v/>
      </c>
      <c r="AV64" s="74" t="str">
        <f t="shared" si="20"/>
        <v/>
      </c>
      <c r="AW64" s="131" t="str">
        <f t="shared" si="20"/>
        <v/>
      </c>
      <c r="AX64" s="74" t="str">
        <f t="shared" si="20"/>
        <v/>
      </c>
      <c r="AY64" s="74" t="str">
        <f t="shared" si="20"/>
        <v/>
      </c>
      <c r="AZ64" s="131" t="str">
        <f t="shared" si="20"/>
        <v/>
      </c>
    </row>
    <row r="65" spans="1:53" x14ac:dyDescent="0.75">
      <c r="A65" s="72" t="str">
        <f>+A64</f>
        <v>check</v>
      </c>
      <c r="AI65" s="75" t="str">
        <f t="shared" ref="AI65:AK65" si="21">+IF(ABS(AI43-AI52-AI59-AI39)&gt;0.1,"check","")</f>
        <v/>
      </c>
      <c r="AJ65" s="76" t="str">
        <f t="shared" si="21"/>
        <v/>
      </c>
      <c r="AK65" s="132" t="str">
        <f t="shared" si="21"/>
        <v/>
      </c>
      <c r="AL65" s="76" t="str">
        <f>+IF(ABS(AL43-AL52-AL59-AL39)&gt;0.1,"check","")</f>
        <v/>
      </c>
      <c r="AM65" s="76" t="str">
        <f t="shared" ref="AM65:AZ65" si="22">+IF(ABS(AM43-AM52-AM59-AM39)&gt;0.1,"check","")</f>
        <v/>
      </c>
      <c r="AN65" s="132" t="str">
        <f t="shared" si="22"/>
        <v/>
      </c>
      <c r="AO65" s="76" t="str">
        <f t="shared" si="22"/>
        <v/>
      </c>
      <c r="AP65" s="76" t="str">
        <f t="shared" si="22"/>
        <v/>
      </c>
      <c r="AQ65" s="132" t="str">
        <f t="shared" si="22"/>
        <v/>
      </c>
      <c r="AR65" s="76" t="str">
        <f t="shared" si="22"/>
        <v/>
      </c>
      <c r="AS65" s="76" t="str">
        <f t="shared" si="22"/>
        <v/>
      </c>
      <c r="AT65" s="132" t="str">
        <f t="shared" si="22"/>
        <v/>
      </c>
      <c r="AU65" s="76" t="str">
        <f t="shared" si="22"/>
        <v/>
      </c>
      <c r="AV65" s="76" t="str">
        <f t="shared" si="22"/>
        <v/>
      </c>
      <c r="AW65" s="132" t="str">
        <f t="shared" si="22"/>
        <v/>
      </c>
      <c r="AX65" s="76" t="str">
        <f t="shared" si="22"/>
        <v/>
      </c>
      <c r="AY65" s="76" t="str">
        <f t="shared" si="22"/>
        <v/>
      </c>
      <c r="AZ65" s="132" t="str">
        <f t="shared" si="22"/>
        <v/>
      </c>
      <c r="BA65" t="s">
        <v>62</v>
      </c>
    </row>
    <row r="66" spans="1:53" x14ac:dyDescent="0.75">
      <c r="AI66" s="88" t="s">
        <v>52</v>
      </c>
      <c r="AJ66" s="89" t="s">
        <v>61</v>
      </c>
    </row>
    <row r="67" spans="1:53" x14ac:dyDescent="0.75">
      <c r="A67" t="s">
        <v>76</v>
      </c>
      <c r="AI67" s="90" t="s">
        <v>60</v>
      </c>
      <c r="AJ67" s="91">
        <v>840.56</v>
      </c>
      <c r="AK67" s="133">
        <f>+AK21</f>
        <v>36.150092620999999</v>
      </c>
      <c r="AL67" s="77">
        <f>+AL21</f>
        <v>215.09287778667468</v>
      </c>
      <c r="AM67" s="77">
        <f t="shared" ref="AM67:AZ67" si="23">+AM21</f>
        <v>316.12001089561022</v>
      </c>
      <c r="AN67" s="133">
        <f t="shared" si="23"/>
        <v>531.21288868228487</v>
      </c>
      <c r="AO67" s="77">
        <f t="shared" si="23"/>
        <v>222.02911425810541</v>
      </c>
      <c r="AP67" s="77">
        <f t="shared" si="23"/>
        <v>256.55184526664607</v>
      </c>
      <c r="AQ67" s="133">
        <f t="shared" si="23"/>
        <v>478.58095952475151</v>
      </c>
      <c r="AR67" s="77">
        <f t="shared" si="23"/>
        <v>245.81139606098327</v>
      </c>
      <c r="AS67" s="77">
        <f t="shared" si="23"/>
        <v>139.58835294766789</v>
      </c>
      <c r="AT67" s="133">
        <f t="shared" si="23"/>
        <v>385.39974900865116</v>
      </c>
      <c r="AU67" s="77">
        <f t="shared" si="23"/>
        <v>19.988717131596964</v>
      </c>
      <c r="AV67" s="77">
        <f t="shared" si="23"/>
        <v>20.037246567619881</v>
      </c>
      <c r="AW67" s="133">
        <f t="shared" si="23"/>
        <v>40.025963699216845</v>
      </c>
      <c r="AX67" s="77">
        <f t="shared" si="23"/>
        <v>17.990922015319999</v>
      </c>
      <c r="AY67" s="77">
        <f t="shared" si="23"/>
        <v>18.901575342420418</v>
      </c>
      <c r="AZ67" s="133">
        <f t="shared" si="23"/>
        <v>36.892497357740417</v>
      </c>
      <c r="BA67" s="87">
        <f>+AK67+AN67+AQ67+AT67+AW67+AZ67</f>
        <v>1508.262150893645</v>
      </c>
    </row>
    <row r="68" spans="1:53" x14ac:dyDescent="0.75">
      <c r="A68" t="s">
        <v>79</v>
      </c>
      <c r="AI68" s="75"/>
      <c r="AJ68" s="92">
        <v>1114.0999999999999</v>
      </c>
      <c r="AK68" s="133">
        <f t="shared" ref="AK68:AM68" si="24">+(AK67/$BA67)*$BA68</f>
        <v>40.325993411810664</v>
      </c>
      <c r="AL68" s="77">
        <f t="shared" si="24"/>
        <v>239.93946747218322</v>
      </c>
      <c r="AM68" s="77">
        <f t="shared" si="24"/>
        <v>352.63681369691767</v>
      </c>
      <c r="AN68" s="133">
        <f>+(AN67/$BA67)*$BA68</f>
        <v>592.57628116910087</v>
      </c>
      <c r="AO68" s="77">
        <f t="shared" ref="AO68:AZ68" si="25">+(AO67/$BA67)*$BA68</f>
        <v>247.67694768232215</v>
      </c>
      <c r="AP68" s="77">
        <f t="shared" si="25"/>
        <v>286.18759377675008</v>
      </c>
      <c r="AQ68" s="133">
        <f t="shared" si="25"/>
        <v>533.86454145907226</v>
      </c>
      <c r="AR68" s="77">
        <f t="shared" si="25"/>
        <v>274.20645479466515</v>
      </c>
      <c r="AS68" s="77">
        <f t="shared" si="25"/>
        <v>155.71298973832185</v>
      </c>
      <c r="AT68" s="133">
        <f t="shared" si="25"/>
        <v>429.91944453298703</v>
      </c>
      <c r="AU68" s="77">
        <f t="shared" si="25"/>
        <v>22.297726421067978</v>
      </c>
      <c r="AV68" s="77">
        <f t="shared" si="25"/>
        <v>22.351861765556755</v>
      </c>
      <c r="AW68" s="133">
        <f t="shared" si="25"/>
        <v>44.649588186624733</v>
      </c>
      <c r="AX68" s="77">
        <f t="shared" si="25"/>
        <v>20.069154739613076</v>
      </c>
      <c r="AY68" s="77">
        <f t="shared" si="25"/>
        <v>21.08500276119635</v>
      </c>
      <c r="AZ68" s="133">
        <f t="shared" si="25"/>
        <v>41.154157500809426</v>
      </c>
      <c r="BA68" s="87">
        <f>+'NKIA Financing'!H11</f>
        <v>1682.4900062604052</v>
      </c>
    </row>
    <row r="69" spans="1:53" s="66" customFormat="1" x14ac:dyDescent="0.75">
      <c r="A69" s="66" t="s">
        <v>53</v>
      </c>
      <c r="AF69" s="67"/>
      <c r="AG69" s="67"/>
      <c r="AH69" s="67"/>
      <c r="AI69" s="67"/>
      <c r="AJ69" s="104">
        <f>+AJ68/AJ67</f>
        <v>1.3254259065384981</v>
      </c>
      <c r="AK69" s="129">
        <f t="shared" ref="AK69:AZ69" si="26">+(AK67+AK68)/AK27</f>
        <v>3.5550430472671372E-3</v>
      </c>
      <c r="AL69" s="108">
        <f t="shared" si="26"/>
        <v>3.7277171331734922E-2</v>
      </c>
      <c r="AM69" s="108">
        <f t="shared" si="26"/>
        <v>5.4785913549554137E-2</v>
      </c>
      <c r="AN69" s="129">
        <f t="shared" si="26"/>
        <v>4.6031542440644529E-2</v>
      </c>
      <c r="AO69" s="108">
        <f t="shared" si="26"/>
        <v>3.3923685167178079E-2</v>
      </c>
      <c r="AP69" s="108">
        <f t="shared" si="26"/>
        <v>3.9198390972127059E-2</v>
      </c>
      <c r="AQ69" s="129">
        <f t="shared" si="26"/>
        <v>3.6561038069652572E-2</v>
      </c>
      <c r="AR69" s="108">
        <f t="shared" si="26"/>
        <v>3.3391888487969368E-2</v>
      </c>
      <c r="AS69" s="108">
        <f t="shared" si="26"/>
        <v>1.8962175027440388E-2</v>
      </c>
      <c r="AT69" s="129">
        <f t="shared" si="26"/>
        <v>2.6177031757704878E-2</v>
      </c>
      <c r="AU69" s="108">
        <f t="shared" si="26"/>
        <v>2.4223295422375626E-3</v>
      </c>
      <c r="AV69" s="108">
        <f t="shared" si="26"/>
        <v>2.4282105743104322E-3</v>
      </c>
      <c r="AW69" s="129">
        <f t="shared" si="26"/>
        <v>2.4252700582739974E-3</v>
      </c>
      <c r="AX69" s="108">
        <f t="shared" si="26"/>
        <v>1.9440881185176268E-3</v>
      </c>
      <c r="AY69" s="108">
        <f t="shared" si="26"/>
        <v>2.0424927645828427E-3</v>
      </c>
      <c r="AZ69" s="129">
        <f t="shared" si="26"/>
        <v>1.9932904415502347E-3</v>
      </c>
    </row>
    <row r="71" spans="1:53" x14ac:dyDescent="0.75">
      <c r="AL71" s="44" t="str">
        <f>+AL36</f>
        <v>Jul-Dec</v>
      </c>
      <c r="AM71" s="44" t="str">
        <f t="shared" ref="AM71:AQ71" si="27">+AM36</f>
        <v>Jan-Jun</v>
      </c>
      <c r="AN71" s="43" t="str">
        <f t="shared" si="27"/>
        <v>2025/2026</v>
      </c>
      <c r="AO71" s="44" t="str">
        <f t="shared" si="27"/>
        <v>Jul-Dec</v>
      </c>
      <c r="AP71" s="44" t="str">
        <f t="shared" si="27"/>
        <v>Jan-Jun</v>
      </c>
      <c r="AQ71" s="43" t="str">
        <f t="shared" si="27"/>
        <v>2026/2027</v>
      </c>
      <c r="AR71" s="44"/>
    </row>
    <row r="72" spans="1:53" x14ac:dyDescent="0.75">
      <c r="AJ72" s="86" t="s">
        <v>67</v>
      </c>
    </row>
    <row r="73" spans="1:53" ht="15.5" thickBot="1" x14ac:dyDescent="0.9">
      <c r="A73" s="61" t="s">
        <v>66</v>
      </c>
      <c r="AJ73" s="78">
        <f>+AVERAGE(AN73,AQ73)</f>
        <v>4.1296290255148554E-2</v>
      </c>
      <c r="AL73" s="47">
        <f t="shared" ref="AL73:AM73" si="28">+AL57</f>
        <v>3.7277171331734922E-2</v>
      </c>
      <c r="AM73" s="47">
        <f t="shared" si="28"/>
        <v>5.4785913549554137E-2</v>
      </c>
      <c r="AN73" s="78">
        <f t="shared" ref="AN73:AT73" si="29">+AN57</f>
        <v>4.6031542440644529E-2</v>
      </c>
      <c r="AO73" s="47">
        <f t="shared" si="29"/>
        <v>3.3923685167178079E-2</v>
      </c>
      <c r="AP73" s="47">
        <f t="shared" si="29"/>
        <v>3.9198390972127059E-2</v>
      </c>
      <c r="AQ73" s="78">
        <f t="shared" si="29"/>
        <v>3.6561038069652572E-2</v>
      </c>
      <c r="AR73" s="47">
        <f t="shared" si="29"/>
        <v>3.3391888487969368E-2</v>
      </c>
      <c r="AS73" s="47">
        <f t="shared" si="29"/>
        <v>1.8962175027440388E-2</v>
      </c>
      <c r="AT73" s="78">
        <f t="shared" si="29"/>
        <v>2.6177031757704878E-2</v>
      </c>
      <c r="AU73" s="47"/>
      <c r="AV73" s="47"/>
      <c r="AW73" s="78"/>
      <c r="AY73" s="47"/>
      <c r="AZ73" s="78"/>
    </row>
    <row r="74" spans="1:53" ht="15.5" thickTop="1" x14ac:dyDescent="0.75">
      <c r="A74" s="66" t="s">
        <v>54</v>
      </c>
      <c r="AJ74" s="45" t="s">
        <v>55</v>
      </c>
      <c r="AL74" s="79">
        <f>+$AJ$73/$AJ$75*$AJ$78*AL77</f>
        <v>4.4737647776410934E-2</v>
      </c>
      <c r="AM74" s="80">
        <f>+$AJ$73/$AJ$75*$AJ$78*AM77</f>
        <v>7.9151222989034722E-2</v>
      </c>
      <c r="AN74" s="139"/>
      <c r="AO74" s="80">
        <f>+$AJ$73/$AJ$75*$AJ$78*AO77</f>
        <v>8.9475295552821868E-2</v>
      </c>
      <c r="AP74" s="80">
        <f>+$AJ$73/$AJ$75*$AJ$78*AP77</f>
        <v>5.8503077861460452E-2</v>
      </c>
      <c r="AQ74" s="140"/>
      <c r="AR74" s="80">
        <f>+$AT$73/$AJ$75*$AJ$78*AR77</f>
        <v>4.3628386262841462E-2</v>
      </c>
      <c r="AS74" s="80">
        <f>+$AT$73/$AJ$75*$AJ$78*AS77</f>
        <v>4.3628386262841462E-2</v>
      </c>
      <c r="AT74" s="134"/>
    </row>
    <row r="75" spans="1:53" ht="15.5" thickBot="1" x14ac:dyDescent="0.9">
      <c r="A75" s="66" t="s">
        <v>56</v>
      </c>
      <c r="AJ75" s="83">
        <v>0.15</v>
      </c>
      <c r="AL75" s="81">
        <f>+$AJ$73/$AJ$75*$AJ$78*AL78</f>
        <v>5.8503077861460452E-2</v>
      </c>
      <c r="AM75" s="82">
        <f>+$AJ$73/$AJ$75*$AJ$78*AM78</f>
        <v>8.9475295552821868E-2</v>
      </c>
      <c r="AN75" s="124">
        <f>AVERAGE(AL74:AM76)</f>
        <v>6.7966811044931991E-2</v>
      </c>
      <c r="AO75" s="82">
        <f>+$AJ$73/$AJ$75*$AJ$78*AO78</f>
        <v>7.9151222989034722E-2</v>
      </c>
      <c r="AP75" s="82">
        <f>+$AJ$73/$AJ$75*$AJ$78*AP78</f>
        <v>4.4737647776410934E-2</v>
      </c>
      <c r="AQ75" s="124">
        <f>AVERAGE(AO74:AP76)</f>
        <v>6.7966811044931991E-2</v>
      </c>
      <c r="AR75" s="82">
        <f t="shared" ref="AR75" si="30">+$AT$73/$AJ$75*$AJ$78*AR78</f>
        <v>4.3628386262841462E-2</v>
      </c>
      <c r="AS75" s="82">
        <f>+$AT$73/$AJ$75*$AJ$78*AS78</f>
        <v>4.3628386262841462E-2</v>
      </c>
      <c r="AT75" s="124">
        <f>AVERAGE(AR74:AS76)</f>
        <v>4.3628386262841462E-2</v>
      </c>
    </row>
    <row r="76" spans="1:53" ht="16.25" thickTop="1" thickBot="1" x14ac:dyDescent="0.9">
      <c r="A76" s="66"/>
      <c r="AJ76" s="83"/>
      <c r="AN76" s="141"/>
    </row>
    <row r="77" spans="1:53" x14ac:dyDescent="0.75">
      <c r="AJ77" s="109" t="s">
        <v>58</v>
      </c>
      <c r="AK77" s="143" t="s">
        <v>57</v>
      </c>
      <c r="AL77" s="84">
        <v>0.65</v>
      </c>
      <c r="AM77" s="84">
        <v>1.1499999999999999</v>
      </c>
      <c r="AO77" s="84">
        <f>+AM78</f>
        <v>1.3</v>
      </c>
      <c r="AP77" s="84">
        <f>+AL78</f>
        <v>0.85</v>
      </c>
      <c r="AR77" s="84">
        <v>1</v>
      </c>
      <c r="AS77" s="84">
        <v>1</v>
      </c>
    </row>
    <row r="78" spans="1:53" ht="15.5" thickBot="1" x14ac:dyDescent="0.9">
      <c r="AJ78" s="110">
        <v>0.25</v>
      </c>
      <c r="AL78" s="84">
        <v>0.85</v>
      </c>
      <c r="AM78" s="84">
        <v>1.3</v>
      </c>
      <c r="AO78" s="84">
        <f>+AM77</f>
        <v>1.1499999999999999</v>
      </c>
      <c r="AP78" s="84">
        <f>+AL77</f>
        <v>0.65</v>
      </c>
      <c r="AR78" s="84">
        <v>1</v>
      </c>
      <c r="AS78" s="84">
        <v>1</v>
      </c>
    </row>
    <row r="79" spans="1:53" x14ac:dyDescent="0.75">
      <c r="A79" s="85" t="s">
        <v>59</v>
      </c>
      <c r="AN79" s="142"/>
    </row>
    <row r="81" spans="1:42" x14ac:dyDescent="0.75">
      <c r="AE81" t="s">
        <v>7</v>
      </c>
      <c r="AF81" s="3" t="s">
        <v>8</v>
      </c>
      <c r="AG81" s="3" t="s">
        <v>80</v>
      </c>
      <c r="AH81" s="3" t="s">
        <v>81</v>
      </c>
      <c r="AI81" s="3" t="s">
        <v>82</v>
      </c>
      <c r="AJ81" s="3" t="s">
        <v>83</v>
      </c>
      <c r="AK81" s="43" t="s">
        <v>84</v>
      </c>
      <c r="AL81" s="43" t="s">
        <v>14</v>
      </c>
      <c r="AM81" s="43" t="s">
        <v>15</v>
      </c>
      <c r="AN81" s="43" t="s">
        <v>16</v>
      </c>
      <c r="AO81" s="43" t="s">
        <v>17</v>
      </c>
      <c r="AP81" s="43" t="s">
        <v>18</v>
      </c>
    </row>
    <row r="83" spans="1:42" x14ac:dyDescent="0.75">
      <c r="A83" t="str">
        <f>A28</f>
        <v>Grev in % of GDP</v>
      </c>
      <c r="AE83" s="78">
        <v>0.19014996739316092</v>
      </c>
      <c r="AF83" s="78">
        <v>0.18314644640250893</v>
      </c>
      <c r="AG83" s="78">
        <v>0.19117087620602016</v>
      </c>
      <c r="AH83" s="78">
        <v>0.18431901010679033</v>
      </c>
      <c r="AI83" s="78">
        <v>0.17014303403236622</v>
      </c>
      <c r="AJ83" s="78">
        <v>0.16620417789665298</v>
      </c>
      <c r="AK83" s="78">
        <v>0.16546014323811886</v>
      </c>
      <c r="AL83" s="78">
        <f>AN28</f>
        <v>0.17626652465618078</v>
      </c>
      <c r="AM83" s="78">
        <f>AQ28</f>
        <v>0.18383799968178346</v>
      </c>
      <c r="AN83" s="78">
        <f>AT28</f>
        <v>0.18786735635011592</v>
      </c>
      <c r="AO83" s="78">
        <f>AW28</f>
        <v>0.18985626615967205</v>
      </c>
      <c r="AP83" s="78">
        <f>AZ28</f>
        <v>0.19254613324113448</v>
      </c>
    </row>
    <row r="84" spans="1:42" x14ac:dyDescent="0.75">
      <c r="A84" t="str">
        <f t="shared" ref="A84:A89" si="31">A29</f>
        <v>Gdem in % of GDP</v>
      </c>
      <c r="AE84" s="78">
        <v>0.26169584838513593</v>
      </c>
      <c r="AF84" s="78">
        <v>0.26811145968691313</v>
      </c>
      <c r="AG84" s="78">
        <v>0.27570065921784898</v>
      </c>
      <c r="AH84" s="78">
        <v>0.28377582490937286</v>
      </c>
      <c r="AI84" s="78">
        <v>0.24368260292576732</v>
      </c>
      <c r="AJ84" s="78">
        <v>0.22612197687473534</v>
      </c>
      <c r="AK84" s="78">
        <v>0.20053719230054018</v>
      </c>
      <c r="AL84" s="78">
        <f t="shared" ref="AL84:AL85" si="32">AN29</f>
        <v>0.19544292641226998</v>
      </c>
      <c r="AM84" s="78">
        <f t="shared" ref="AM84:AM85" si="33">AQ29</f>
        <v>0.19708559679766124</v>
      </c>
      <c r="AN84" s="78">
        <f t="shared" ref="AN84:AN85" si="34">AT29</f>
        <v>0.20500503475212281</v>
      </c>
      <c r="AO84" s="78">
        <f t="shared" ref="AO84:AO85" si="35">AW29</f>
        <v>0.20621080279034229</v>
      </c>
      <c r="AP84" s="78">
        <f t="shared" ref="AP84:AP85" si="36">AZ29</f>
        <v>0.21126024180894573</v>
      </c>
    </row>
    <row r="85" spans="1:42" x14ac:dyDescent="0.75">
      <c r="A85" t="str">
        <f t="shared" si="31"/>
        <v>Other Expenditure of %GDP</v>
      </c>
      <c r="AK85" s="78">
        <f t="shared" ref="AK84:AK89" si="37">AK30</f>
        <v>4.8267929014096267E-2</v>
      </c>
      <c r="AL85" s="78">
        <f t="shared" si="32"/>
        <v>6.5305740908504314E-2</v>
      </c>
      <c r="AM85" s="78">
        <f t="shared" si="33"/>
        <v>5.7506975131284256E-2</v>
      </c>
      <c r="AN85" s="78">
        <f t="shared" si="34"/>
        <v>4.8938235172937043E-2</v>
      </c>
      <c r="AO85" s="78">
        <f t="shared" si="35"/>
        <v>3.5534903705779032E-2</v>
      </c>
      <c r="AP85" s="78">
        <f t="shared" si="36"/>
        <v>3.2074422687699104E-2</v>
      </c>
    </row>
    <row r="86" spans="1:42" x14ac:dyDescent="0.75">
      <c r="A86" t="str">
        <f t="shared" si="31"/>
        <v xml:space="preserve">    O/w Net Lending</v>
      </c>
      <c r="AK86" s="78">
        <f t="shared" si="37"/>
        <v>7.6216379010740978E-3</v>
      </c>
      <c r="AL86" s="78">
        <f t="shared" ref="AL86:AL89" si="38">AN31</f>
        <v>2.426235405315183E-2</v>
      </c>
      <c r="AM86" s="78">
        <f t="shared" ref="AM86:AM89" si="39">AQ31</f>
        <v>1.8456095568033321E-2</v>
      </c>
      <c r="AN86" s="78">
        <f t="shared" ref="AN86:AN89" si="40">AT31</f>
        <v>1.3338318225031951E-2</v>
      </c>
      <c r="AO86" s="78">
        <f t="shared" ref="AO86:AO89" si="41">AW31</f>
        <v>2.0068315060444027E-3</v>
      </c>
      <c r="AP86" s="78">
        <f t="shared" ref="AP86:AP89" si="42">AZ31</f>
        <v>1.6801053432437812E-3</v>
      </c>
    </row>
    <row r="87" spans="1:42" x14ac:dyDescent="0.75">
      <c r="A87" t="str">
        <f t="shared" si="31"/>
        <v xml:space="preserve">    O/w Bugesera </v>
      </c>
      <c r="AK87" s="78">
        <f t="shared" si="37"/>
        <v>1.6804617246653031E-3</v>
      </c>
      <c r="AL87" s="78">
        <f t="shared" si="38"/>
        <v>2.1759017871323384E-2</v>
      </c>
      <c r="AM87" s="78">
        <f t="shared" si="39"/>
        <v>1.7282329432638625E-2</v>
      </c>
      <c r="AN87" s="78">
        <f t="shared" si="40"/>
        <v>1.2373830456986199E-2</v>
      </c>
      <c r="AO87" s="78">
        <f t="shared" si="41"/>
        <v>1.1464202966653949E-3</v>
      </c>
      <c r="AP87" s="78">
        <f t="shared" si="42"/>
        <v>9.4222439746301809E-4</v>
      </c>
    </row>
    <row r="88" spans="1:42" x14ac:dyDescent="0.75">
      <c r="A88" t="str">
        <f t="shared" si="31"/>
        <v>Tot Spending in % of GDP</v>
      </c>
      <c r="AE88" s="78">
        <v>0.27139661636466372</v>
      </c>
      <c r="AF88" s="78">
        <v>0.29958819734316722</v>
      </c>
      <c r="AG88" s="78">
        <v>0.32366045585195247</v>
      </c>
      <c r="AH88" s="78">
        <v>0.33670696675965084</v>
      </c>
      <c r="AI88" s="78">
        <v>0.35185267843523671</v>
      </c>
      <c r="AJ88" s="78">
        <v>0.29533472921204673</v>
      </c>
      <c r="AK88" s="78">
        <v>0.27432440534114733</v>
      </c>
      <c r="AL88" s="78">
        <f t="shared" si="38"/>
        <v>0.26074866732077423</v>
      </c>
      <c r="AM88" s="78">
        <f t="shared" si="39"/>
        <v>0.25459257192894552</v>
      </c>
      <c r="AN88" s="78">
        <f t="shared" si="40"/>
        <v>0.25394326992505989</v>
      </c>
      <c r="AO88" s="78">
        <f t="shared" si="41"/>
        <v>0.24174570649612137</v>
      </c>
      <c r="AP88" s="78">
        <f t="shared" si="42"/>
        <v>0.24333466449664484</v>
      </c>
    </row>
    <row r="89" spans="1:42" x14ac:dyDescent="0.75">
      <c r="A89" t="str">
        <f t="shared" si="31"/>
        <v>Deficit (Excl. Grants ) % of GDP</v>
      </c>
      <c r="AE89" s="144">
        <v>-0.10715311961052623</v>
      </c>
      <c r="AF89" s="144">
        <v>-0.13198602648404975</v>
      </c>
      <c r="AG89" s="144">
        <v>-0.13819197250543944</v>
      </c>
      <c r="AH89" s="144">
        <v>-0.1569715400252282</v>
      </c>
      <c r="AI89" s="144">
        <v>-0.11571481494483828</v>
      </c>
      <c r="AJ89" s="144">
        <v>-0.10810529497455036</v>
      </c>
      <c r="AK89" s="78">
        <f t="shared" si="37"/>
        <v>-8.3344978076517584E-2</v>
      </c>
      <c r="AL89" s="78">
        <f t="shared" si="38"/>
        <v>-8.4482142664593501E-2</v>
      </c>
      <c r="AM89" s="78">
        <f t="shared" si="39"/>
        <v>-7.0754572247162029E-2</v>
      </c>
      <c r="AN89" s="78">
        <f t="shared" si="40"/>
        <v>-6.6075913574943954E-2</v>
      </c>
      <c r="AO89" s="78">
        <f t="shared" si="41"/>
        <v>-5.1889440336449273E-2</v>
      </c>
      <c r="AP89" s="78">
        <f t="shared" si="42"/>
        <v>-5.0788531255510416E-2</v>
      </c>
    </row>
  </sheetData>
  <pageMargins left="0.2" right="0.2" top="0.25" bottom="0.25" header="0.3" footer="0.3"/>
  <pageSetup scale="49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3143F-1CB5-4284-805F-149289AA16B5}">
  <dimension ref="A1:L19"/>
  <sheetViews>
    <sheetView workbookViewId="0">
      <selection activeCell="C16" sqref="C16"/>
    </sheetView>
  </sheetViews>
  <sheetFormatPr defaultRowHeight="14.75" x14ac:dyDescent="0.75"/>
  <cols>
    <col min="1" max="1" width="53.6328125" customWidth="1"/>
    <col min="2" max="8" width="8.81640625" bestFit="1" customWidth="1"/>
  </cols>
  <sheetData>
    <row r="1" spans="1:12" x14ac:dyDescent="0.75">
      <c r="A1" s="1"/>
      <c r="B1" s="103">
        <v>2024</v>
      </c>
      <c r="C1" s="103">
        <v>2025</v>
      </c>
      <c r="D1" s="103">
        <v>2026</v>
      </c>
      <c r="E1" s="103">
        <v>2027</v>
      </c>
      <c r="F1" s="103">
        <v>2028</v>
      </c>
      <c r="G1" s="103">
        <v>2029</v>
      </c>
      <c r="H1" s="103">
        <v>2030</v>
      </c>
    </row>
    <row r="2" spans="1:12" x14ac:dyDescent="0.75">
      <c r="A2" s="96" t="s">
        <v>70</v>
      </c>
      <c r="C2" s="100">
        <f>C3+C4</f>
        <v>308.85861037162039</v>
      </c>
      <c r="D2" s="100">
        <f t="shared" ref="D2:G2" si="0">D3+D4</f>
        <v>721.33994120659054</v>
      </c>
      <c r="E2" s="100">
        <f t="shared" si="0"/>
        <v>732.21927019834698</v>
      </c>
      <c r="F2" s="100">
        <f t="shared" si="0"/>
        <v>187.93653864476565</v>
      </c>
      <c r="G2" s="100">
        <f t="shared" si="0"/>
        <v>4.2285111869296426</v>
      </c>
    </row>
    <row r="3" spans="1:12" x14ac:dyDescent="0.75">
      <c r="A3" s="97" t="s">
        <v>71</v>
      </c>
      <c r="C3" s="100">
        <v>174.00361037162037</v>
      </c>
      <c r="D3" s="100">
        <v>385.4857976103541</v>
      </c>
      <c r="E3" s="100">
        <v>439.33156211900854</v>
      </c>
      <c r="F3" s="100">
        <v>112.76192318685943</v>
      </c>
      <c r="G3" s="100">
        <v>2.5371067121577857</v>
      </c>
    </row>
    <row r="4" spans="1:12" x14ac:dyDescent="0.75">
      <c r="A4" s="97" t="s">
        <v>72</v>
      </c>
      <c r="C4" s="101">
        <v>134.85500000000002</v>
      </c>
      <c r="D4" s="101">
        <v>335.85414359623644</v>
      </c>
      <c r="E4" s="101">
        <v>292.88770807933849</v>
      </c>
      <c r="F4" s="101">
        <v>75.174615457906214</v>
      </c>
      <c r="G4" s="101">
        <v>1.6914044747718571</v>
      </c>
    </row>
    <row r="5" spans="1:12" x14ac:dyDescent="0.75">
      <c r="A5" s="2"/>
    </row>
    <row r="6" spans="1:12" x14ac:dyDescent="0.75">
      <c r="A6" s="98" t="s">
        <v>73</v>
      </c>
      <c r="B6" s="99">
        <v>1382.9873419999999</v>
      </c>
      <c r="C6" s="99">
        <v>1455.0205468858974</v>
      </c>
      <c r="D6" s="99">
        <v>1517.7698205635791</v>
      </c>
      <c r="E6" s="99">
        <v>1572.0012687572651</v>
      </c>
      <c r="F6" s="99">
        <v>1615.7148947336634</v>
      </c>
      <c r="G6" s="99">
        <v>1656.1077671020048</v>
      </c>
      <c r="H6" s="99">
        <v>1697.5104612795549</v>
      </c>
    </row>
    <row r="7" spans="1:12" x14ac:dyDescent="0.75">
      <c r="A7" t="s">
        <v>74</v>
      </c>
      <c r="C7" s="102">
        <f>C6/B6-1</f>
        <v>5.2085223557958971E-2</v>
      </c>
      <c r="D7" s="102">
        <f t="shared" ref="D7:H7" si="1">D6/C6-1</f>
        <v>4.312603956829375E-2</v>
      </c>
      <c r="E7" s="102">
        <f t="shared" si="1"/>
        <v>3.5731009708408035E-2</v>
      </c>
      <c r="F7" s="102">
        <f t="shared" si="1"/>
        <v>2.7807627668746004E-2</v>
      </c>
      <c r="G7" s="102">
        <f t="shared" si="1"/>
        <v>2.4999999999999911E-2</v>
      </c>
      <c r="H7" s="102">
        <f t="shared" si="1"/>
        <v>2.4999999999999911E-2</v>
      </c>
    </row>
    <row r="8" spans="1:12" x14ac:dyDescent="0.75">
      <c r="A8" t="s">
        <v>75</v>
      </c>
      <c r="B8" s="99"/>
      <c r="C8" s="99">
        <f>+(C6+B6)/2</f>
        <v>1419.0039444429485</v>
      </c>
      <c r="D8" s="99">
        <f t="shared" ref="D8:H8" si="2">+(D6+C6)/2</f>
        <v>1486.3951837247382</v>
      </c>
      <c r="E8" s="99">
        <f t="shared" si="2"/>
        <v>1544.8855446604221</v>
      </c>
      <c r="F8" s="99">
        <f t="shared" si="2"/>
        <v>1593.8580817454642</v>
      </c>
      <c r="G8" s="99">
        <f t="shared" si="2"/>
        <v>1635.9113309178342</v>
      </c>
      <c r="H8" s="99">
        <f t="shared" si="2"/>
        <v>1676.8091141907798</v>
      </c>
    </row>
    <row r="9" spans="1:12" x14ac:dyDescent="0.75">
      <c r="C9" s="102"/>
    </row>
    <row r="10" spans="1:12" x14ac:dyDescent="0.75">
      <c r="C10" s="106">
        <f>+C2*C8/1000</f>
        <v>438.27158639249711</v>
      </c>
      <c r="D10" s="106">
        <f t="shared" ref="D10:G10" si="3">+D2*D8/1000</f>
        <v>1072.1962144377621</v>
      </c>
      <c r="E10" s="106">
        <f t="shared" si="3"/>
        <v>1131.19496605123</v>
      </c>
      <c r="F10" s="106">
        <f t="shared" si="3"/>
        <v>299.54417097422845</v>
      </c>
      <c r="G10" s="106">
        <f t="shared" si="3"/>
        <v>6.9174693636110227</v>
      </c>
    </row>
    <row r="11" spans="1:12" x14ac:dyDescent="0.75">
      <c r="A11" s="105" t="s">
        <v>77</v>
      </c>
      <c r="C11" s="107">
        <f>+C3*C$8/1000</f>
        <v>246.91180946464326</v>
      </c>
      <c r="D11" s="107">
        <f t="shared" ref="D11:G11" si="4">+D3*D$8/1000</f>
        <v>572.98423296231954</v>
      </c>
      <c r="E11" s="107">
        <f t="shared" si="4"/>
        <v>678.71697963073848</v>
      </c>
      <c r="F11" s="107">
        <f t="shared" si="4"/>
        <v>179.72650258453717</v>
      </c>
      <c r="G11" s="107">
        <f t="shared" si="4"/>
        <v>4.150481618166614</v>
      </c>
      <c r="H11" s="111">
        <f>SUM(C11:G11)</f>
        <v>1682.4900062604052</v>
      </c>
    </row>
    <row r="12" spans="1:12" x14ac:dyDescent="0.75">
      <c r="A12" s="105" t="s">
        <v>78</v>
      </c>
      <c r="C12" s="107">
        <f t="shared" ref="C12:G12" si="5">+C4*C$8/1000</f>
        <v>191.35977692785386</v>
      </c>
      <c r="D12" s="107">
        <f t="shared" si="5"/>
        <v>499.21198147544249</v>
      </c>
      <c r="E12" s="107">
        <f t="shared" si="5"/>
        <v>452.47798642049156</v>
      </c>
      <c r="F12" s="107">
        <f t="shared" si="5"/>
        <v>119.81766838969132</v>
      </c>
      <c r="G12" s="107">
        <f t="shared" si="5"/>
        <v>2.7669877454444092</v>
      </c>
      <c r="H12" s="111">
        <f>SUM(C12:G12)</f>
        <v>1265.6344009589236</v>
      </c>
    </row>
    <row r="16" spans="1:12" x14ac:dyDescent="0.75">
      <c r="B16" t="s">
        <v>85</v>
      </c>
      <c r="C16" s="77">
        <v>215.09287778667468</v>
      </c>
      <c r="D16" s="77">
        <v>316.12001089561022</v>
      </c>
      <c r="E16" s="77">
        <v>222.02911425810541</v>
      </c>
      <c r="F16" s="77">
        <v>256.55184526664607</v>
      </c>
      <c r="G16" s="77">
        <v>245.81139606098327</v>
      </c>
      <c r="H16" s="77">
        <v>139.58835294766789</v>
      </c>
      <c r="I16" s="77">
        <v>19.988717131596964</v>
      </c>
      <c r="J16" s="77">
        <v>20.037246567619881</v>
      </c>
      <c r="K16" s="77">
        <v>17.990922015319999</v>
      </c>
      <c r="L16" s="77">
        <v>18.901575342420418</v>
      </c>
    </row>
    <row r="17" spans="1:12" ht="16" x14ac:dyDescent="0.8">
      <c r="A17" s="13" t="s">
        <v>69</v>
      </c>
      <c r="B17" s="23" t="s">
        <v>86</v>
      </c>
      <c r="C17" s="23">
        <f>C16-18</f>
        <v>197.09287778667468</v>
      </c>
      <c r="D17" s="23">
        <f t="shared" ref="D17:L17" si="6">D16-18</f>
        <v>298.12001089561022</v>
      </c>
      <c r="E17" s="23">
        <f t="shared" si="6"/>
        <v>204.02911425810541</v>
      </c>
      <c r="F17" s="23">
        <f t="shared" si="6"/>
        <v>238.55184526664607</v>
      </c>
      <c r="G17" s="23">
        <f t="shared" si="6"/>
        <v>227.81139606098327</v>
      </c>
      <c r="H17" s="23">
        <f t="shared" si="6"/>
        <v>121.58835294766789</v>
      </c>
      <c r="I17" s="23">
        <f t="shared" si="6"/>
        <v>1.9887171315969638</v>
      </c>
      <c r="J17" s="23">
        <f t="shared" si="6"/>
        <v>2.0372465676198814</v>
      </c>
      <c r="K17" s="23">
        <f t="shared" si="6"/>
        <v>-9.0779846800010944E-3</v>
      </c>
      <c r="L17" s="23">
        <f t="shared" si="6"/>
        <v>0.90157534242041848</v>
      </c>
    </row>
    <row r="19" spans="1:12" x14ac:dyDescent="0.75">
      <c r="B19" t="s">
        <v>87</v>
      </c>
      <c r="D19" s="14">
        <f>D17+E17</f>
        <v>502.14912515371566</v>
      </c>
      <c r="E19" s="14">
        <f>F17+G17</f>
        <v>466.36324132762934</v>
      </c>
      <c r="F19" s="14">
        <f>G17+H17</f>
        <v>349.39974900865116</v>
      </c>
      <c r="G19" s="14">
        <f>I17+J17</f>
        <v>4.0259636992168453</v>
      </c>
      <c r="H19" s="14">
        <f>K17+L17</f>
        <v>0.89249735774041739</v>
      </c>
      <c r="I19" s="145">
        <f>SUM(D19:H19)</f>
        <v>1322.8305765469536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FiscTuning_Rw</vt:lpstr>
      <vt:lpstr>NKIA Financing</vt:lpstr>
      <vt:lpstr>fiscal_tunes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arend Kouwenaar</dc:creator>
  <cp:lastModifiedBy>Evariste MANIRUMVA</cp:lastModifiedBy>
  <cp:lastPrinted>2025-10-22T00:45:05Z</cp:lastPrinted>
  <dcterms:created xsi:type="dcterms:W3CDTF">2025-10-21T20:29:31Z</dcterms:created>
  <dcterms:modified xsi:type="dcterms:W3CDTF">2025-11-17T18:10:47Z</dcterms:modified>
</cp:coreProperties>
</file>