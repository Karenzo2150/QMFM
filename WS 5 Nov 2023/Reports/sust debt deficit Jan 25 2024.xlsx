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riste.manirumva\Desktop\MINECOFIN\Modelling\QMFM\Misc\Docs-materials\Docs\Jan 2024\"/>
    </mc:Choice>
  </mc:AlternateContent>
  <xr:revisionPtr revIDLastSave="0" documentId="13_ncr:1_{8F1C0979-F358-4FF6-8A1A-6D8E538AD6BB}" xr6:coauthVersionLast="47" xr6:coauthVersionMax="47" xr10:uidLastSave="{00000000-0000-0000-0000-000000000000}"/>
  <bookViews>
    <workbookView xWindow="-96" yWindow="-96" windowWidth="23232" windowHeight="13872" xr2:uid="{E12AC85D-1B73-42CB-8224-7E51731D73B4}"/>
  </bookViews>
  <sheets>
    <sheet name="Sheet1" sheetId="1" r:id="rId1"/>
  </sheets>
  <definedNames>
    <definedName name="_xlnm.Print_Area" localSheetId="0">Sheet1!$A$1:$L$40</definedName>
    <definedName name="Sum_tab">Sheet1!$A$42:$I$68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1" l="1"/>
  <c r="N32" i="1"/>
  <c r="P32" i="1"/>
  <c r="H32" i="1"/>
  <c r="D32" i="1"/>
  <c r="F32" i="1"/>
  <c r="B32" i="1"/>
  <c r="H22" i="1"/>
  <c r="D29" i="1" l="1"/>
  <c r="D35" i="1"/>
  <c r="P68" i="1"/>
  <c r="P67" i="1"/>
  <c r="P66" i="1"/>
  <c r="P64" i="1"/>
  <c r="P62" i="1"/>
  <c r="P60" i="1"/>
  <c r="P59" i="1"/>
  <c r="P58" i="1"/>
  <c r="P56" i="1"/>
  <c r="P55" i="1"/>
  <c r="P63" i="1" s="1"/>
  <c r="P54" i="1"/>
  <c r="P52" i="1"/>
  <c r="P51" i="1"/>
  <c r="P50" i="1"/>
  <c r="P49" i="1"/>
  <c r="P48" i="1"/>
  <c r="P47" i="1"/>
  <c r="P45" i="1"/>
  <c r="P39" i="1"/>
  <c r="P34" i="1"/>
  <c r="P33" i="1"/>
  <c r="P31" i="1"/>
  <c r="P30" i="1"/>
  <c r="P29" i="1" s="1"/>
  <c r="P20" i="1"/>
  <c r="P18" i="1"/>
  <c r="P37" i="1" s="1"/>
  <c r="N45" i="1"/>
  <c r="N67" i="1"/>
  <c r="N60" i="1"/>
  <c r="N55" i="1"/>
  <c r="N63" i="1" s="1"/>
  <c r="N54" i="1"/>
  <c r="N50" i="1"/>
  <c r="N49" i="1"/>
  <c r="N48" i="1"/>
  <c r="N47" i="1"/>
  <c r="N33" i="1"/>
  <c r="N30" i="1" s="1"/>
  <c r="N64" i="1" s="1"/>
  <c r="N31" i="1"/>
  <c r="N34" i="1" s="1"/>
  <c r="N20" i="1"/>
  <c r="N52" i="1" s="1"/>
  <c r="N18" i="1"/>
  <c r="N37" i="1" s="1"/>
  <c r="P27" i="1" l="1"/>
  <c r="P36" i="1"/>
  <c r="P35" i="1" s="1"/>
  <c r="N59" i="1"/>
  <c r="N58" i="1"/>
  <c r="N51" i="1"/>
  <c r="N29" i="1"/>
  <c r="N62" i="1" s="1"/>
  <c r="N36" i="1"/>
  <c r="N35" i="1" s="1"/>
  <c r="N27" i="1"/>
  <c r="N56" i="1" s="1"/>
  <c r="B45" i="1"/>
  <c r="A66" i="1"/>
  <c r="D45" i="1"/>
  <c r="J31" i="1"/>
  <c r="J34" i="1" s="1"/>
  <c r="H31" i="1"/>
  <c r="H34" i="1" s="1"/>
  <c r="L20" i="1"/>
  <c r="L18" i="1"/>
  <c r="L25" i="1"/>
  <c r="J25" i="1"/>
  <c r="H25" i="1"/>
  <c r="F25" i="1"/>
  <c r="D25" i="1"/>
  <c r="F33" i="1"/>
  <c r="F31" i="1"/>
  <c r="F34" i="1" s="1"/>
  <c r="N39" i="1" l="1"/>
  <c r="N68" i="1" s="1"/>
  <c r="N66" i="1"/>
  <c r="A37" i="1"/>
  <c r="A36" i="1"/>
  <c r="A32" i="1"/>
  <c r="A58" i="1" s="1"/>
  <c r="B31" i="1"/>
  <c r="B34" i="1" s="1"/>
  <c r="A31" i="1"/>
  <c r="A51" i="1"/>
  <c r="A56" i="1"/>
  <c r="F45" i="1"/>
  <c r="B67" i="1"/>
  <c r="A68" i="1"/>
  <c r="A67" i="1"/>
  <c r="B60" i="1"/>
  <c r="B55" i="1"/>
  <c r="B63" i="1" s="1"/>
  <c r="B54" i="1"/>
  <c r="A64" i="1"/>
  <c r="A62" i="1"/>
  <c r="A60" i="1"/>
  <c r="A59" i="1"/>
  <c r="B50" i="1"/>
  <c r="B49" i="1"/>
  <c r="B48" i="1"/>
  <c r="B47" i="1"/>
  <c r="A55" i="1"/>
  <c r="A63" i="1" s="1"/>
  <c r="A54" i="1"/>
  <c r="A52" i="1"/>
  <c r="A50" i="1"/>
  <c r="A49" i="1"/>
  <c r="A48" i="1"/>
  <c r="A47" i="1"/>
  <c r="B43" i="1"/>
  <c r="B42" i="1"/>
  <c r="J39" i="1"/>
  <c r="H39" i="1" l="1"/>
  <c r="H27" i="1"/>
  <c r="B10" i="1"/>
  <c r="F10" i="1" s="1"/>
  <c r="B33" i="1"/>
  <c r="B58" i="1" s="1"/>
  <c r="J27" i="1"/>
  <c r="J18" i="1"/>
  <c r="F8" i="1"/>
  <c r="B20" i="1"/>
  <c r="B52" i="1" s="1"/>
  <c r="B18" i="1"/>
  <c r="B51" i="1" s="1"/>
  <c r="J37" i="1" l="1"/>
  <c r="B37" i="1"/>
  <c r="B30" i="1"/>
  <c r="B59" i="1"/>
  <c r="J20" i="1"/>
  <c r="J36" i="1" s="1"/>
  <c r="J35" i="1" s="1"/>
  <c r="J29" i="1"/>
  <c r="J22" i="1"/>
  <c r="J33" i="1" s="1"/>
  <c r="D10" i="1"/>
  <c r="B8" i="1"/>
  <c r="H8" i="1" s="1"/>
  <c r="B29" i="1" l="1"/>
  <c r="B62" i="1" s="1"/>
  <c r="B36" i="1"/>
  <c r="B35" i="1" s="1"/>
  <c r="B7" i="1"/>
  <c r="B9" i="1" s="1"/>
  <c r="B27" i="1"/>
  <c r="F7" i="1"/>
  <c r="F9" i="1" s="1"/>
  <c r="F11" i="1" s="1"/>
  <c r="B64" i="1"/>
  <c r="B66" i="1" l="1"/>
  <c r="B39" i="1"/>
  <c r="D8" i="1"/>
  <c r="B56" i="1"/>
  <c r="D7" i="1"/>
  <c r="H7" i="1"/>
  <c r="H9" i="1"/>
  <c r="B11" i="1"/>
  <c r="H11" i="1" s="1"/>
  <c r="D9" i="1" l="1"/>
  <c r="D11" i="1" s="1"/>
  <c r="B68" i="1"/>
  <c r="D60" i="1"/>
  <c r="F49" i="1"/>
  <c r="F47" i="1"/>
  <c r="F18" i="1"/>
  <c r="F37" i="1" s="1"/>
  <c r="F48" i="1"/>
  <c r="F60" i="1"/>
  <c r="F54" i="1"/>
  <c r="F55" i="1"/>
  <c r="F63" i="1" s="1"/>
  <c r="F30" i="1"/>
  <c r="F29" i="1" s="1"/>
  <c r="F62" i="1" s="1"/>
  <c r="F58" i="1"/>
  <c r="F59" i="1"/>
  <c r="F64" i="1" l="1"/>
  <c r="F51" i="1"/>
  <c r="F27" i="1"/>
  <c r="F56" i="1" s="1"/>
  <c r="D67" i="1"/>
  <c r="F67" i="1"/>
  <c r="D31" i="1"/>
  <c r="D34" i="1" s="1"/>
  <c r="D55" i="1"/>
  <c r="D63" i="1" s="1"/>
  <c r="D33" i="1"/>
  <c r="D54" i="1"/>
  <c r="D58" i="1" l="1"/>
  <c r="D30" i="1"/>
  <c r="D62" i="1" s="1"/>
  <c r="D59" i="1"/>
  <c r="D64" i="1" l="1"/>
  <c r="D18" i="1"/>
  <c r="D37" i="1" s="1"/>
  <c r="D47" i="1"/>
  <c r="D48" i="1"/>
  <c r="D51" i="1" l="1"/>
  <c r="D49" i="1"/>
  <c r="D20" i="1"/>
  <c r="D36" i="1" s="1"/>
  <c r="D50" i="1"/>
  <c r="D66" i="1" l="1"/>
  <c r="D39" i="1"/>
  <c r="D68" i="1" s="1"/>
  <c r="D52" i="1"/>
  <c r="L39" i="1" l="1"/>
  <c r="L27" i="1"/>
  <c r="L22" i="1"/>
  <c r="F50" i="1"/>
  <c r="F68" i="1"/>
  <c r="F39" i="1"/>
  <c r="F52" i="1"/>
  <c r="D27" i="1"/>
  <c r="D56" i="1"/>
  <c r="L29" i="1"/>
  <c r="L30" i="1"/>
  <c r="L36" i="1"/>
  <c r="L35" i="1"/>
  <c r="F21" i="1"/>
  <c r="F20" i="1"/>
  <c r="F36" i="1"/>
  <c r="F35" i="1"/>
  <c r="F66" i="1"/>
  <c r="L38" i="1"/>
  <c r="L37" i="1"/>
  <c r="L26" i="1"/>
  <c r="L31" i="1"/>
  <c r="L34" i="1"/>
  <c r="L24" i="1"/>
  <c r="L32" i="1"/>
  <c r="L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arend Kouwenaar</author>
  </authors>
  <commentList>
    <comment ref="I35" authorId="0" shapeId="0" xr:uid="{A56CD47A-3C38-4EF7-A1D6-B53D68379E62}">
      <text>
        <r>
          <rPr>
            <sz val="8"/>
            <color indexed="81"/>
            <rFont val="Tahoma"/>
            <family val="2"/>
          </rPr>
          <t>calculated by IMF wrongly at 6.7%, then set at lower number</t>
        </r>
      </text>
    </comment>
  </commentList>
</comments>
</file>

<file path=xl/sharedStrings.xml><?xml version="1.0" encoding="utf-8"?>
<sst xmlns="http://schemas.openxmlformats.org/spreadsheetml/2006/main" count="49" uniqueCount="48">
  <si>
    <t>real GDP</t>
  </si>
  <si>
    <t xml:space="preserve">total debt creating deficit </t>
  </si>
  <si>
    <t>AK</t>
  </si>
  <si>
    <t>sustainable grants</t>
  </si>
  <si>
    <t xml:space="preserve">   deficit excl. grants</t>
  </si>
  <si>
    <t>linearized formula</t>
  </si>
  <si>
    <t>error/difference</t>
  </si>
  <si>
    <t>deficit foreign currency</t>
  </si>
  <si>
    <t>deficit local currency</t>
  </si>
  <si>
    <t>Calculations</t>
  </si>
  <si>
    <t>grant element foreign currency debt</t>
  </si>
  <si>
    <t>implied</t>
  </si>
  <si>
    <t>sustainable debt-creating deficit</t>
  </si>
  <si>
    <t>PCI 2019 (July)</t>
  </si>
  <si>
    <t>or 45% p.46</t>
  </si>
  <si>
    <t>PCI Dec22 (SR)</t>
  </si>
  <si>
    <t>sustainable deficit before grants</t>
  </si>
  <si>
    <t xml:space="preserve">      EAC convergence</t>
  </si>
  <si>
    <t>QMFM Nov23</t>
  </si>
  <si>
    <t>QMFM Dec22</t>
  </si>
  <si>
    <t>PCI Nov23 implicit</t>
  </si>
  <si>
    <t>SCEN</t>
  </si>
  <si>
    <t>see formulae in WP QMF, Annex and ZR Matlab file debt_calc</t>
  </si>
  <si>
    <r>
      <t>ZR</t>
    </r>
    <r>
      <rPr>
        <sz val="11"/>
        <color theme="1"/>
        <rFont val="Calibri"/>
        <family val="2"/>
        <scheme val="minor"/>
      </rPr>
      <t xml:space="preserve"> </t>
    </r>
  </si>
  <si>
    <t>Sum_tab</t>
  </si>
  <si>
    <t>Sustainable deficit in % of GDP, as function of debt/GDP targets</t>
  </si>
  <si>
    <t>function of debt/GDP anchor (foreign, domestic) and other assumptions/parameters</t>
  </si>
  <si>
    <r>
      <t>exchange rate</t>
    </r>
    <r>
      <rPr>
        <sz val="9"/>
        <color theme="1"/>
        <rFont val="Calibri"/>
        <family val="2"/>
        <scheme val="minor"/>
      </rPr>
      <t xml:space="preserve"> (for given RER change)</t>
    </r>
  </si>
  <si>
    <t>trading partner prices</t>
  </si>
  <si>
    <t>Assumptions (% change or ratio to GDP)</t>
  </si>
  <si>
    <t>Macro assumptions (% change)</t>
  </si>
  <si>
    <t>Nominal debt/GDP (excl. guarantees)</t>
  </si>
  <si>
    <t>NPV debt in foreign currency</t>
  </si>
  <si>
    <t>debt in foreign currency/GDP</t>
  </si>
  <si>
    <t>debt in local currency/GDP</t>
  </si>
  <si>
    <t>NPV of debt/GDP (excl. guarantees)</t>
  </si>
  <si>
    <t>assumption sustainable grants</t>
  </si>
  <si>
    <t xml:space="preserve">   RER change (equilibrium) path</t>
  </si>
  <si>
    <t>GDP deflator (CPI, terms of trade)</t>
  </si>
  <si>
    <t>Target for sustainable debt</t>
  </si>
  <si>
    <t>or: share debt foreign currency</t>
  </si>
  <si>
    <t>NPV debt in local currency/GDP</t>
  </si>
  <si>
    <t>just numbers from SR, some assumed</t>
  </si>
  <si>
    <t>1/ Targets and macro assumptions in italic.</t>
  </si>
  <si>
    <t>lower growth</t>
  </si>
  <si>
    <t>Targets sustainable debt/GDP in %</t>
  </si>
  <si>
    <t>nominal GDP</t>
  </si>
  <si>
    <t>higher foreign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</si>
</sst>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9"/>
      <color rgb="FFC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b/>
      <i/>
      <sz val="9"/>
      <color theme="9" tint="-0.249977111117893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i/>
      <sz val="8"/>
      <color theme="9" tint="-0.249977111117893"/>
      <name val="Calibri"/>
      <family val="2"/>
      <scheme val="minor"/>
    </font>
    <font>
      <i/>
      <sz val="10"/>
      <color rgb="FFC00000"/>
      <name val="Calibri"/>
      <family val="2"/>
      <scheme val="minor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7030A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FF0000"/>
      <name val="Calibri"/>
      <family val="2"/>
      <scheme val="minor"/>
    </font>
    <font>
      <i/>
      <sz val="9"/>
      <color rgb="FF7030A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164" fontId="2" fillId="0" borderId="0" xfId="0" applyNumberFormat="1" applyFont="1"/>
    <xf numFmtId="164" fontId="9" fillId="0" borderId="0" xfId="0" applyNumberFormat="1" applyFont="1"/>
    <xf numFmtId="9" fontId="1" fillId="0" borderId="0" xfId="0" applyNumberFormat="1" applyFont="1"/>
    <xf numFmtId="164" fontId="1" fillId="0" borderId="0" xfId="0" applyNumberFormat="1" applyFont="1"/>
    <xf numFmtId="0" fontId="11" fillId="0" borderId="0" xfId="0" applyFont="1"/>
    <xf numFmtId="0" fontId="12" fillId="0" borderId="0" xfId="0" applyFont="1"/>
    <xf numFmtId="164" fontId="13" fillId="0" borderId="0" xfId="0" applyNumberFormat="1" applyFont="1"/>
    <xf numFmtId="0" fontId="14" fillId="0" borderId="0" xfId="0" applyFont="1"/>
    <xf numFmtId="9" fontId="14" fillId="0" borderId="0" xfId="0" applyNumberFormat="1" applyFont="1"/>
    <xf numFmtId="164" fontId="11" fillId="0" borderId="0" xfId="0" applyNumberFormat="1" applyFont="1"/>
    <xf numFmtId="9" fontId="2" fillId="0" borderId="0" xfId="0" applyNumberFormat="1" applyFont="1"/>
    <xf numFmtId="0" fontId="15" fillId="0" borderId="0" xfId="0" applyFont="1" applyAlignment="1">
      <alignment horizontal="right"/>
    </xf>
    <xf numFmtId="164" fontId="16" fillId="0" borderId="0" xfId="0" applyNumberFormat="1" applyFont="1"/>
    <xf numFmtId="0" fontId="16" fillId="0" borderId="0" xfId="0" applyFont="1"/>
    <xf numFmtId="164" fontId="17" fillId="0" borderId="0" xfId="0" applyNumberFormat="1" applyFont="1"/>
    <xf numFmtId="0" fontId="17" fillId="0" borderId="0" xfId="0" applyFont="1"/>
    <xf numFmtId="0" fontId="8" fillId="0" borderId="0" xfId="0" applyFont="1" applyAlignment="1">
      <alignment horizontal="center"/>
    </xf>
    <xf numFmtId="0" fontId="18" fillId="0" borderId="0" xfId="0" applyFont="1"/>
    <xf numFmtId="0" fontId="20" fillId="0" borderId="0" xfId="0" applyFont="1"/>
    <xf numFmtId="164" fontId="19" fillId="0" borderId="0" xfId="0" applyNumberFormat="1" applyFont="1"/>
    <xf numFmtId="0" fontId="21" fillId="0" borderId="0" xfId="0" applyFont="1"/>
    <xf numFmtId="0" fontId="0" fillId="0" borderId="0" xfId="0" quotePrefix="1"/>
    <xf numFmtId="164" fontId="22" fillId="0" borderId="0" xfId="0" applyNumberFormat="1" applyFont="1"/>
    <xf numFmtId="164" fontId="23" fillId="0" borderId="0" xfId="0" applyNumberFormat="1" applyFont="1"/>
    <xf numFmtId="0" fontId="24" fillId="0" borderId="0" xfId="0" applyFont="1"/>
    <xf numFmtId="0" fontId="25" fillId="0" borderId="0" xfId="0" applyFont="1"/>
    <xf numFmtId="0" fontId="28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/>
    <xf numFmtId="9" fontId="28" fillId="0" borderId="0" xfId="0" applyNumberFormat="1" applyFont="1"/>
    <xf numFmtId="164" fontId="29" fillId="0" borderId="0" xfId="0" applyNumberFormat="1" applyFont="1"/>
    <xf numFmtId="0" fontId="4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30" fillId="0" borderId="0" xfId="0" applyFont="1"/>
    <xf numFmtId="0" fontId="29" fillId="0" borderId="0" xfId="0" applyFont="1"/>
    <xf numFmtId="0" fontId="31" fillId="0" borderId="0" xfId="0" applyFont="1"/>
    <xf numFmtId="9" fontId="33" fillId="0" borderId="0" xfId="0" applyNumberFormat="1" applyFont="1"/>
    <xf numFmtId="164" fontId="30" fillId="0" borderId="0" xfId="0" applyNumberFormat="1" applyFont="1"/>
    <xf numFmtId="164" fontId="31" fillId="0" borderId="0" xfId="0" applyNumberFormat="1" applyFont="1"/>
    <xf numFmtId="164" fontId="28" fillId="0" borderId="0" xfId="0" applyNumberFormat="1" applyFont="1"/>
    <xf numFmtId="9" fontId="6" fillId="0" borderId="0" xfId="0" applyNumberFormat="1" applyFont="1"/>
    <xf numFmtId="9" fontId="32" fillId="0" borderId="0" xfId="0" applyNumberFormat="1" applyFont="1"/>
    <xf numFmtId="164" fontId="21" fillId="0" borderId="0" xfId="0" applyNumberFormat="1" applyFont="1"/>
    <xf numFmtId="164" fontId="34" fillId="0" borderId="0" xfId="0" applyNumberFormat="1" applyFont="1"/>
    <xf numFmtId="9" fontId="16" fillId="0" borderId="0" xfId="0" applyNumberFormat="1" applyFont="1"/>
    <xf numFmtId="164" fontId="26" fillId="0" borderId="0" xfId="0" applyNumberFormat="1" applyFont="1"/>
    <xf numFmtId="164" fontId="35" fillId="0" borderId="2" xfId="0" applyNumberFormat="1" applyFont="1" applyBorder="1"/>
    <xf numFmtId="9" fontId="3" fillId="0" borderId="0" xfId="0" applyNumberFormat="1" applyFont="1"/>
    <xf numFmtId="164" fontId="10" fillId="0" borderId="1" xfId="0" applyNumberFormat="1" applyFont="1" applyBorder="1"/>
    <xf numFmtId="16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center"/>
    </xf>
    <xf numFmtId="10" fontId="7" fillId="0" borderId="0" xfId="0" applyNumberFormat="1" applyFont="1"/>
    <xf numFmtId="0" fontId="7" fillId="0" borderId="0" xfId="0" applyFont="1"/>
    <xf numFmtId="9" fontId="7" fillId="0" borderId="0" xfId="0" applyNumberFormat="1" applyFont="1"/>
    <xf numFmtId="9" fontId="5" fillId="0" borderId="0" xfId="0" applyNumberFormat="1" applyFont="1"/>
    <xf numFmtId="10" fontId="36" fillId="0" borderId="0" xfId="0" applyNumberFormat="1" applyFont="1"/>
    <xf numFmtId="0" fontId="3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0F8F-48DF-4134-8665-E7683B6109CD}">
  <sheetPr>
    <pageSetUpPr fitToPage="1"/>
  </sheetPr>
  <dimension ref="A1:X70"/>
  <sheetViews>
    <sheetView tabSelected="1" topLeftCell="A7" workbookViewId="0">
      <selection activeCell="D29" sqref="D29"/>
    </sheetView>
  </sheetViews>
  <sheetFormatPr defaultRowHeight="14.4" x14ac:dyDescent="0.55000000000000004"/>
  <cols>
    <col min="1" max="1" width="35.26171875" customWidth="1"/>
    <col min="3" max="3" width="8.26171875" customWidth="1"/>
    <col min="4" max="4" width="9.26171875" customWidth="1"/>
    <col min="6" max="6" width="8.578125" customWidth="1"/>
    <col min="8" max="8" width="7.68359375" customWidth="1"/>
    <col min="11" max="11" width="8.26171875" customWidth="1"/>
    <col min="18" max="18" width="8.41796875" customWidth="1"/>
  </cols>
  <sheetData>
    <row r="1" spans="1:24" x14ac:dyDescent="0.55000000000000004">
      <c r="B1" s="1" t="s">
        <v>25</v>
      </c>
      <c r="L1" s="1"/>
    </row>
    <row r="2" spans="1:24" x14ac:dyDescent="0.55000000000000004">
      <c r="B2" t="s">
        <v>26</v>
      </c>
      <c r="L2" s="32"/>
    </row>
    <row r="5" spans="1:24" x14ac:dyDescent="0.55000000000000004">
      <c r="B5" t="s">
        <v>22</v>
      </c>
    </row>
    <row r="6" spans="1:24" x14ac:dyDescent="0.55000000000000004">
      <c r="A6" s="1" t="s">
        <v>9</v>
      </c>
      <c r="B6" s="38" t="s">
        <v>2</v>
      </c>
      <c r="C6" s="38"/>
      <c r="D6" s="38" t="s">
        <v>23</v>
      </c>
      <c r="E6" s="39"/>
      <c r="F6" s="40" t="s">
        <v>5</v>
      </c>
      <c r="G6" s="39"/>
      <c r="H6" s="40" t="s">
        <v>6</v>
      </c>
      <c r="L6" s="1"/>
    </row>
    <row r="7" spans="1:24" x14ac:dyDescent="0.55000000000000004">
      <c r="A7" t="s">
        <v>7</v>
      </c>
      <c r="B7" s="3">
        <f>+B30*((1+B$18)-(1+B20))/(1+B$18)</f>
        <v>3.9126955025596835E-2</v>
      </c>
      <c r="C7" s="3"/>
      <c r="D7" s="3">
        <f>+(B29*B27)*((1+B$18)-(1+B20))/(1+B$18)</f>
        <v>3.9126955025596835E-2</v>
      </c>
      <c r="F7" s="3">
        <f>+B30*(B16+B19)/(1+B16+B19)</f>
        <v>3.8571529444993639E-2</v>
      </c>
      <c r="H7" s="3">
        <f>+F7-B7</f>
        <v>-5.5542558060319575E-4</v>
      </c>
    </row>
    <row r="8" spans="1:24" x14ac:dyDescent="0.55000000000000004">
      <c r="A8" t="s">
        <v>8</v>
      </c>
      <c r="B8" s="3">
        <f>+B26*((1+B$18)-1)/(1+B$18)</f>
        <v>1.1406423034330005E-2</v>
      </c>
      <c r="C8" s="3"/>
      <c r="D8" s="3">
        <f>+(B29*(1-B27))*((1+B$18)-1)/(1+B$18)</f>
        <v>1.1406423034330003E-2</v>
      </c>
      <c r="F8" s="3">
        <f>+B26*(B16+B17)/(1+B16+B17)</f>
        <v>1.1111111111111112E-2</v>
      </c>
      <c r="H8" s="3">
        <f>+F8-B8</f>
        <v>-2.9531192321889319E-4</v>
      </c>
    </row>
    <row r="9" spans="1:24" x14ac:dyDescent="0.55000000000000004">
      <c r="A9" t="s">
        <v>1</v>
      </c>
      <c r="B9" s="2">
        <f>+B7+B8</f>
        <v>5.0533378059926838E-2</v>
      </c>
      <c r="D9" s="2">
        <f>+D7+D8</f>
        <v>5.0533378059926838E-2</v>
      </c>
      <c r="F9" s="2">
        <f>+F7+F8</f>
        <v>4.9682640556104753E-2</v>
      </c>
      <c r="H9" s="3">
        <f>+F9-B9</f>
        <v>-8.5073750382208546E-4</v>
      </c>
    </row>
    <row r="10" spans="1:24" x14ac:dyDescent="0.55000000000000004">
      <c r="A10" t="s">
        <v>3</v>
      </c>
      <c r="B10" s="2">
        <f>+B38</f>
        <v>0.03</v>
      </c>
      <c r="D10" s="2">
        <f>+B10</f>
        <v>0.03</v>
      </c>
      <c r="F10" s="2">
        <f>+B10</f>
        <v>0.03</v>
      </c>
    </row>
    <row r="11" spans="1:24" x14ac:dyDescent="0.55000000000000004">
      <c r="A11" t="s">
        <v>4</v>
      </c>
      <c r="B11" s="2">
        <f>+B9+B10</f>
        <v>8.053337805992683E-2</v>
      </c>
      <c r="D11" s="2">
        <f>+D9+D10</f>
        <v>8.053337805992683E-2</v>
      </c>
      <c r="F11" s="2">
        <f>+F9+F10</f>
        <v>7.9682640556104745E-2</v>
      </c>
      <c r="H11" s="3">
        <f>+F11-B11</f>
        <v>-8.5073750382208546E-4</v>
      </c>
      <c r="L11" s="1"/>
    </row>
    <row r="12" spans="1:24" x14ac:dyDescent="0.55000000000000004">
      <c r="C12" s="2"/>
      <c r="E12" s="2"/>
      <c r="G12" s="2"/>
      <c r="I12" s="3"/>
    </row>
    <row r="13" spans="1:24" x14ac:dyDescent="0.55000000000000004">
      <c r="H13" s="27"/>
      <c r="I13" s="28"/>
      <c r="J13" s="27"/>
    </row>
    <row r="14" spans="1:24" x14ac:dyDescent="0.55000000000000004">
      <c r="H14" s="44" t="s">
        <v>42</v>
      </c>
      <c r="I14" s="28"/>
      <c r="J14" s="27"/>
    </row>
    <row r="15" spans="1:24" x14ac:dyDescent="0.55000000000000004">
      <c r="A15" s="1" t="s">
        <v>29</v>
      </c>
      <c r="B15" s="45" t="s">
        <v>21</v>
      </c>
      <c r="C15" s="3"/>
      <c r="D15" s="15" t="s">
        <v>18</v>
      </c>
      <c r="E15" s="5"/>
      <c r="F15" s="15" t="s">
        <v>20</v>
      </c>
      <c r="G15" s="5"/>
      <c r="H15" s="15" t="s">
        <v>15</v>
      </c>
      <c r="J15" s="22" t="s">
        <v>13</v>
      </c>
      <c r="L15" s="1" t="s">
        <v>19</v>
      </c>
      <c r="N15" s="1" t="s">
        <v>44</v>
      </c>
      <c r="P15" s="1" t="s">
        <v>47</v>
      </c>
    </row>
    <row r="16" spans="1:24" x14ac:dyDescent="0.55000000000000004">
      <c r="A16" s="47" t="s">
        <v>0</v>
      </c>
      <c r="B16" s="43">
        <v>7.4999999999999997E-2</v>
      </c>
      <c r="C16" s="43"/>
      <c r="D16" s="43">
        <v>7.4999999999999997E-2</v>
      </c>
      <c r="F16" s="43">
        <v>7.4999999999999997E-2</v>
      </c>
      <c r="G16" s="24"/>
      <c r="H16" s="23">
        <v>7.4999999999999997E-2</v>
      </c>
      <c r="I16" s="24"/>
      <c r="J16" s="23">
        <v>7.4999999999999997E-2</v>
      </c>
      <c r="L16" s="43">
        <v>7.4999999999999997E-2</v>
      </c>
      <c r="N16" s="43">
        <v>0.05</v>
      </c>
      <c r="P16" s="43">
        <v>7.4999999999999997E-2</v>
      </c>
      <c r="W16" s="2"/>
      <c r="X16" s="2"/>
    </row>
    <row r="17" spans="1:24" x14ac:dyDescent="0.55000000000000004">
      <c r="A17" s="47" t="s">
        <v>38</v>
      </c>
      <c r="B17" s="43">
        <v>0.05</v>
      </c>
      <c r="C17" s="43"/>
      <c r="D17" s="43">
        <v>0.05</v>
      </c>
      <c r="F17" s="43">
        <v>0.05</v>
      </c>
      <c r="G17" s="24"/>
      <c r="H17" s="23">
        <v>0.05</v>
      </c>
      <c r="I17" s="24"/>
      <c r="J17" s="23">
        <v>0.05</v>
      </c>
      <c r="L17" s="43">
        <v>0.05</v>
      </c>
      <c r="N17" s="43">
        <v>0.05</v>
      </c>
      <c r="P17" s="43">
        <v>0.05</v>
      </c>
      <c r="W17" s="2"/>
      <c r="X17" s="2"/>
    </row>
    <row r="18" spans="1:24" x14ac:dyDescent="0.55000000000000004">
      <c r="A18" s="4" t="s">
        <v>46</v>
      </c>
      <c r="B18" s="51">
        <f>+(1+B16)*(1+B17)-1</f>
        <v>0.12874999999999992</v>
      </c>
      <c r="C18" s="51"/>
      <c r="D18" s="51">
        <f t="shared" ref="D18:F18" si="0">+(1+D16)*(1+D17)-1</f>
        <v>0.12874999999999992</v>
      </c>
      <c r="E18" s="51"/>
      <c r="F18" s="51">
        <f t="shared" si="0"/>
        <v>0.12874999999999992</v>
      </c>
      <c r="G18" s="26"/>
      <c r="H18" s="25">
        <v>0.12874999999999992</v>
      </c>
      <c r="I18" s="26"/>
      <c r="J18" s="25">
        <f>+(1+J16)*(1+J17)-1</f>
        <v>0.12874999999999992</v>
      </c>
      <c r="K18" s="4"/>
      <c r="L18" s="51">
        <f t="shared" ref="L18" si="1">+(1+L16)*(1+L17)-1</f>
        <v>0.12874999999999992</v>
      </c>
      <c r="M18" s="4"/>
      <c r="N18" s="51">
        <f>+(1+N16)*(1+N17)-1</f>
        <v>0.10250000000000004</v>
      </c>
      <c r="P18" s="51">
        <f>+(1+P16)*(1+P17)-1</f>
        <v>0.12874999999999992</v>
      </c>
      <c r="W18" s="11"/>
      <c r="X18" s="11"/>
    </row>
    <row r="19" spans="1:24" x14ac:dyDescent="0.55000000000000004">
      <c r="A19" s="47" t="s">
        <v>28</v>
      </c>
      <c r="B19" s="43">
        <v>0.02</v>
      </c>
      <c r="C19" s="43"/>
      <c r="D19" s="43">
        <v>0.02</v>
      </c>
      <c r="F19" s="43">
        <v>1.4999999999999999E-2</v>
      </c>
      <c r="G19" s="24"/>
      <c r="H19" s="23">
        <v>1.4999999999999999E-2</v>
      </c>
      <c r="I19" s="24"/>
      <c r="J19" s="23">
        <v>2.5000000000000001E-2</v>
      </c>
      <c r="L19" s="43">
        <v>0.02</v>
      </c>
      <c r="N19" s="43">
        <v>0.02</v>
      </c>
      <c r="P19" s="43">
        <v>0.03</v>
      </c>
      <c r="W19" s="2"/>
      <c r="X19" s="2"/>
    </row>
    <row r="20" spans="1:24" x14ac:dyDescent="0.55000000000000004">
      <c r="A20" t="s">
        <v>27</v>
      </c>
      <c r="B20" s="2">
        <f>+(1+B17)/(1+B19)*(1+B21)-1</f>
        <v>2.941176470588247E-2</v>
      </c>
      <c r="C20" s="43"/>
      <c r="D20" s="2">
        <f>+(1+D17)/(1+D19)*(1+D21)-1</f>
        <v>2.941176470588247E-2</v>
      </c>
      <c r="F20" s="43">
        <f ca="1">+(1+F17)/(1+F19)*(1+F21)-1</f>
        <v>3.4482758620689724E-2</v>
      </c>
      <c r="G20" s="24"/>
      <c r="H20" s="23">
        <v>3.4482758620689724E-2</v>
      </c>
      <c r="I20" s="24"/>
      <c r="J20" s="23">
        <f>+(1+J17)/(1+J19)*(1+J21)-1</f>
        <v>2.4390243902439046E-2</v>
      </c>
      <c r="L20" s="2">
        <f>+(1+L17)/(1+L19)*(1+L21)-1</f>
        <v>2.941176470588247E-2</v>
      </c>
      <c r="N20" s="2">
        <f>+(1+N17)/(1+N19)*(1+N21)-1</f>
        <v>2.941176470588247E-2</v>
      </c>
      <c r="P20" s="2">
        <f>+(1+P17)/(1+P19)*(1+P21)-1</f>
        <v>1.9417475728155331E-2</v>
      </c>
      <c r="W20" s="2"/>
      <c r="X20" s="2"/>
    </row>
    <row r="21" spans="1:24" x14ac:dyDescent="0.55000000000000004">
      <c r="A21" s="48" t="s">
        <v>37</v>
      </c>
      <c r="B21" s="51">
        <v>0</v>
      </c>
      <c r="C21" s="43"/>
      <c r="D21" s="51">
        <v>0</v>
      </c>
      <c r="E21" s="47"/>
      <c r="F21" s="51">
        <f t="shared" ref="F21" ca="1" si="2">+IF(F$14=1,B21,F21)</f>
        <v>0</v>
      </c>
      <c r="G21" s="47"/>
      <c r="H21" s="23">
        <v>0</v>
      </c>
      <c r="I21" s="23"/>
      <c r="J21" s="23">
        <v>0</v>
      </c>
      <c r="K21" s="47"/>
      <c r="L21" s="51">
        <v>0</v>
      </c>
      <c r="N21" s="51">
        <v>0</v>
      </c>
      <c r="P21" s="51">
        <v>0</v>
      </c>
      <c r="W21" s="7"/>
      <c r="X21" s="7"/>
    </row>
    <row r="22" spans="1:24" x14ac:dyDescent="0.55000000000000004">
      <c r="A22" s="48" t="s">
        <v>10</v>
      </c>
      <c r="B22" s="51">
        <v>0.224</v>
      </c>
      <c r="C22" s="56"/>
      <c r="D22" s="51">
        <v>0.22700000000000001</v>
      </c>
      <c r="E22" s="31"/>
      <c r="F22" s="33">
        <v>0.27</v>
      </c>
      <c r="G22" s="35"/>
      <c r="H22" s="34">
        <f>1-H33/H30</f>
        <v>0.27272727272727271</v>
      </c>
      <c r="I22" s="36" t="s">
        <v>11</v>
      </c>
      <c r="J22" s="34">
        <f>1-(J24-J26)/J30</f>
        <v>0.19999999999999996</v>
      </c>
      <c r="K22" s="36" t="s">
        <v>11</v>
      </c>
      <c r="L22" s="51">
        <f ca="1">+IF(L$14=1,B22,L22)</f>
        <v>0.27</v>
      </c>
      <c r="N22" s="51">
        <v>0.224</v>
      </c>
      <c r="P22" s="51">
        <v>0.224</v>
      </c>
      <c r="W22" s="7"/>
      <c r="X22" s="7"/>
    </row>
    <row r="23" spans="1:24" x14ac:dyDescent="0.55000000000000004">
      <c r="A23" s="1" t="s">
        <v>39</v>
      </c>
      <c r="B23" s="7"/>
      <c r="C23" s="9"/>
      <c r="D23" s="33"/>
      <c r="E23" s="31"/>
      <c r="F23" s="34"/>
      <c r="G23" s="35"/>
      <c r="H23" s="34"/>
      <c r="I23" s="36"/>
      <c r="J23" s="34"/>
      <c r="K23" s="31"/>
      <c r="L23" s="33"/>
      <c r="N23" s="7"/>
      <c r="P23" s="7"/>
      <c r="W23" s="7"/>
      <c r="X23" s="7"/>
    </row>
    <row r="24" spans="1:24" x14ac:dyDescent="0.55000000000000004">
      <c r="A24" s="37" t="s">
        <v>35</v>
      </c>
      <c r="B24" s="52">
        <v>0.44500000000000001</v>
      </c>
      <c r="C24" s="9"/>
      <c r="D24" s="52">
        <v>0.44500000000000001</v>
      </c>
      <c r="E24" s="37"/>
      <c r="F24" s="42">
        <v>0.22</v>
      </c>
      <c r="G24" s="37"/>
      <c r="H24" s="57">
        <v>0.5</v>
      </c>
      <c r="I24" s="26" t="s">
        <v>14</v>
      </c>
      <c r="J24" s="57">
        <v>0.5</v>
      </c>
      <c r="K24" s="37"/>
      <c r="L24" s="52">
        <f ca="1">+IF(L$14=1,B24,L24)</f>
        <v>0.5</v>
      </c>
      <c r="N24" s="52">
        <v>0.44500000000000001</v>
      </c>
      <c r="P24" s="52">
        <v>0.44500000000000001</v>
      </c>
      <c r="W24" s="7"/>
      <c r="X24" s="7"/>
    </row>
    <row r="25" spans="1:24" x14ac:dyDescent="0.55000000000000004">
      <c r="A25" s="4" t="s">
        <v>17</v>
      </c>
      <c r="B25" s="21">
        <v>0.5</v>
      </c>
      <c r="C25" s="4"/>
      <c r="D25" s="21">
        <f>+$B25</f>
        <v>0.5</v>
      </c>
      <c r="E25" s="4"/>
      <c r="F25" s="21">
        <f>+$B25</f>
        <v>0.5</v>
      </c>
      <c r="G25" s="4"/>
      <c r="H25" s="21">
        <f>+$B25</f>
        <v>0.5</v>
      </c>
      <c r="J25" s="21">
        <f>+$B25</f>
        <v>0.5</v>
      </c>
      <c r="L25" s="21">
        <f>+$B25</f>
        <v>0.5</v>
      </c>
      <c r="N25" s="21">
        <v>0.5</v>
      </c>
      <c r="P25" s="21">
        <v>0.5</v>
      </c>
      <c r="W25" s="7"/>
      <c r="X25" s="7"/>
    </row>
    <row r="26" spans="1:24" x14ac:dyDescent="0.55000000000000004">
      <c r="A26" s="37" t="s">
        <v>34</v>
      </c>
      <c r="B26" s="42">
        <v>0.1</v>
      </c>
      <c r="C26" s="53"/>
      <c r="D26" s="42">
        <v>0.1</v>
      </c>
      <c r="E26" s="54"/>
      <c r="F26" s="42">
        <v>0.1</v>
      </c>
      <c r="G26" s="49"/>
      <c r="H26" s="57">
        <v>0.1</v>
      </c>
      <c r="I26" s="57"/>
      <c r="J26" s="57">
        <v>0.1</v>
      </c>
      <c r="K26" s="42"/>
      <c r="L26" s="42">
        <f ca="1">+IF(L$14=1,B26,L26)</f>
        <v>0.1</v>
      </c>
      <c r="N26" s="42">
        <v>0.1</v>
      </c>
      <c r="P26" s="42">
        <v>0.1</v>
      </c>
      <c r="W26" s="7"/>
      <c r="X26" s="7"/>
    </row>
    <row r="27" spans="1:24" x14ac:dyDescent="0.55000000000000004">
      <c r="A27" s="46" t="s">
        <v>40</v>
      </c>
      <c r="B27" s="50">
        <f>+B30/(B30+B26)</f>
        <v>0.8163748225272125</v>
      </c>
      <c r="C27" s="9"/>
      <c r="D27" s="50">
        <f ca="1">+IF(D$14=1,B27,D27)</f>
        <v>0.8163748225272125</v>
      </c>
      <c r="E27" s="37"/>
      <c r="F27" s="50">
        <f>+F30/(F30+F26)</f>
        <v>0.62176165803108807</v>
      </c>
      <c r="G27" s="37"/>
      <c r="H27" s="58">
        <f>+H30/H29</f>
        <v>0.84615384615384615</v>
      </c>
      <c r="I27" s="24"/>
      <c r="J27" s="58">
        <f>+J30/(J30+J26)</f>
        <v>0.83333333333333337</v>
      </c>
      <c r="K27" s="37"/>
      <c r="L27" s="50">
        <f ca="1">+IF(L$14=1,B27,L27)</f>
        <v>0.84566596194503174</v>
      </c>
      <c r="N27" s="50">
        <f>+N30/(N30+N26)</f>
        <v>0.8163748225272125</v>
      </c>
      <c r="P27" s="50">
        <f>+P30/(P30+P26)</f>
        <v>0.8163748225272125</v>
      </c>
      <c r="W27" s="7"/>
      <c r="X27" s="7"/>
    </row>
    <row r="28" spans="1:24" x14ac:dyDescent="0.55000000000000004">
      <c r="A28" s="48"/>
      <c r="B28" s="51"/>
      <c r="C28" s="43"/>
      <c r="D28" s="51"/>
      <c r="E28" s="47"/>
      <c r="F28" s="51"/>
      <c r="G28" s="47"/>
      <c r="H28" s="51"/>
      <c r="I28" s="47"/>
      <c r="J28" s="51"/>
      <c r="K28" s="47"/>
      <c r="L28" s="51"/>
      <c r="N28" s="51"/>
      <c r="P28" s="51"/>
      <c r="W28" s="7"/>
      <c r="X28" s="7"/>
    </row>
    <row r="29" spans="1:24" x14ac:dyDescent="0.55000000000000004">
      <c r="A29" s="16" t="s">
        <v>31</v>
      </c>
      <c r="B29" s="14">
        <f>+B30+B26</f>
        <v>0.54458762886597933</v>
      </c>
      <c r="C29" s="17"/>
      <c r="D29" s="14">
        <f>+D30+D26</f>
        <v>0.54631306597671403</v>
      </c>
      <c r="E29" s="1"/>
      <c r="F29" s="14">
        <f>+F30+F26</f>
        <v>0.26438356164383559</v>
      </c>
      <c r="H29" s="13">
        <v>0.65</v>
      </c>
      <c r="J29" s="13">
        <f>+J30+J26</f>
        <v>0.6</v>
      </c>
      <c r="L29" s="13">
        <f ca="1">+L30+L26</f>
        <v>0.64794520547945211</v>
      </c>
      <c r="N29" s="14">
        <f>+N30+N26</f>
        <v>0.54458762886597933</v>
      </c>
      <c r="P29" s="14">
        <f>+P30+P26</f>
        <v>0.54458762886597933</v>
      </c>
      <c r="W29" s="14"/>
      <c r="X29" s="14"/>
    </row>
    <row r="30" spans="1:24" x14ac:dyDescent="0.55000000000000004">
      <c r="A30" t="s">
        <v>33</v>
      </c>
      <c r="B30" s="2">
        <f>+B33/(1-B22)</f>
        <v>0.44458762886597936</v>
      </c>
      <c r="C30" s="8"/>
      <c r="D30" s="2">
        <f>+D33/(1-D22)</f>
        <v>0.44631306597671405</v>
      </c>
      <c r="E30" s="18"/>
      <c r="F30" s="2">
        <f>+F33/(1-F22)</f>
        <v>0.16438356164383561</v>
      </c>
      <c r="G30" s="18"/>
      <c r="H30" s="19">
        <v>0.55000000000000004</v>
      </c>
      <c r="J30" s="19">
        <v>0.5</v>
      </c>
      <c r="L30" s="2">
        <f ca="1">+IF(L$14=1,B30,L30)</f>
        <v>0.54794520547945214</v>
      </c>
      <c r="N30" s="2">
        <f>+N33/(1-N22)</f>
        <v>0.44458762886597936</v>
      </c>
      <c r="P30" s="2">
        <f>+P33/(1-P22)</f>
        <v>0.44458762886597936</v>
      </c>
      <c r="W30" s="2"/>
      <c r="X30" s="2"/>
    </row>
    <row r="31" spans="1:24" x14ac:dyDescent="0.55000000000000004">
      <c r="A31" t="str">
        <f>+A26</f>
        <v>debt in local currency/GDP</v>
      </c>
      <c r="B31" s="41">
        <f>+B26</f>
        <v>0.1</v>
      </c>
      <c r="D31" s="41">
        <f>+D26</f>
        <v>0.1</v>
      </c>
      <c r="F31" s="41">
        <f>+F26</f>
        <v>0.1</v>
      </c>
      <c r="H31" s="41">
        <f>+H26</f>
        <v>0.1</v>
      </c>
      <c r="J31" s="41">
        <f>+J26</f>
        <v>0.1</v>
      </c>
      <c r="L31" s="41">
        <f ca="1">+L26</f>
        <v>0.1</v>
      </c>
      <c r="N31" s="41">
        <f>+N26</f>
        <v>0.1</v>
      </c>
      <c r="P31" s="41">
        <f>+P26</f>
        <v>0.1</v>
      </c>
      <c r="W31" s="12"/>
      <c r="X31" s="12"/>
    </row>
    <row r="32" spans="1:24" x14ac:dyDescent="0.55000000000000004">
      <c r="A32" s="1" t="str">
        <f>+A24</f>
        <v>NPV of debt/GDP (excl. guarantees)</v>
      </c>
      <c r="B32" s="14">
        <f>B24</f>
        <v>0.44500000000000001</v>
      </c>
      <c r="C32" s="14"/>
      <c r="D32" s="14">
        <f t="shared" ref="C32:P32" si="3">D24</f>
        <v>0.44500000000000001</v>
      </c>
      <c r="E32" s="14"/>
      <c r="F32" s="14">
        <f t="shared" si="3"/>
        <v>0.22</v>
      </c>
      <c r="G32" s="14"/>
      <c r="H32" s="14">
        <f t="shared" si="3"/>
        <v>0.5</v>
      </c>
      <c r="I32" s="14"/>
      <c r="J32" s="14">
        <f t="shared" si="3"/>
        <v>0.5</v>
      </c>
      <c r="K32" s="14"/>
      <c r="L32" s="14">
        <f t="shared" ca="1" si="3"/>
        <v>0.5</v>
      </c>
      <c r="M32" s="14"/>
      <c r="N32" s="14">
        <f t="shared" si="3"/>
        <v>0.44500000000000001</v>
      </c>
      <c r="O32" s="14"/>
      <c r="P32" s="14">
        <f t="shared" si="3"/>
        <v>0.44500000000000001</v>
      </c>
      <c r="W32" s="6"/>
      <c r="X32" s="6"/>
    </row>
    <row r="33" spans="1:24" x14ac:dyDescent="0.55000000000000004">
      <c r="A33" t="s">
        <v>32</v>
      </c>
      <c r="B33" s="6">
        <f>+B24-B26</f>
        <v>0.34499999999999997</v>
      </c>
      <c r="C33" s="9"/>
      <c r="D33" s="6">
        <f>+D24-D26</f>
        <v>0.34499999999999997</v>
      </c>
      <c r="F33" s="6">
        <f>+F24-F26</f>
        <v>0.12</v>
      </c>
      <c r="H33" s="41">
        <v>0.4</v>
      </c>
      <c r="I33" s="41"/>
      <c r="J33" s="41">
        <f>+(1-J22)*J30</f>
        <v>0.4</v>
      </c>
      <c r="K33" s="41"/>
      <c r="L33" s="60">
        <f ca="1">+IF(L$14=1,B33,L33)</f>
        <v>0.4</v>
      </c>
      <c r="N33" s="6">
        <f>+N24-N26</f>
        <v>0.34499999999999997</v>
      </c>
      <c r="P33" s="6">
        <f>+P24-P26</f>
        <v>0.34499999999999997</v>
      </c>
      <c r="W33" s="20"/>
      <c r="X33" s="20"/>
    </row>
    <row r="34" spans="1:24" x14ac:dyDescent="0.55000000000000004">
      <c r="A34" t="s">
        <v>41</v>
      </c>
      <c r="B34" s="60">
        <f>+B31</f>
        <v>0.1</v>
      </c>
      <c r="C34" s="53"/>
      <c r="D34" s="60">
        <f>+D31</f>
        <v>0.1</v>
      </c>
      <c r="E34" s="41"/>
      <c r="F34" s="60">
        <f>+F31</f>
        <v>0.1</v>
      </c>
      <c r="H34" s="60">
        <f>+H31</f>
        <v>0.1</v>
      </c>
      <c r="I34" s="41"/>
      <c r="J34" s="60">
        <f>+J31</f>
        <v>0.1</v>
      </c>
      <c r="K34" s="41"/>
      <c r="L34" s="60">
        <f ca="1">+L31</f>
        <v>0.1</v>
      </c>
      <c r="N34" s="60">
        <f>+N31</f>
        <v>0.1</v>
      </c>
      <c r="P34" s="60">
        <f>+P31</f>
        <v>0.1</v>
      </c>
      <c r="W34" s="20"/>
      <c r="X34" s="20"/>
    </row>
    <row r="35" spans="1:24" x14ac:dyDescent="0.55000000000000004">
      <c r="A35" s="16" t="s">
        <v>12</v>
      </c>
      <c r="B35" s="14">
        <f>+B36+B37</f>
        <v>5.0533378059926838E-2</v>
      </c>
      <c r="C35" s="9"/>
      <c r="D35" s="14">
        <f>+D36+D37</f>
        <v>5.0685229114359943E-2</v>
      </c>
      <c r="F35" s="14">
        <f ca="1">+F36+F37</f>
        <v>0</v>
      </c>
      <c r="H35" s="2">
        <v>5.5E-2</v>
      </c>
      <c r="I35" s="61">
        <v>5.5E-2</v>
      </c>
      <c r="J35" s="59">
        <f>+J36+J37</f>
        <v>5.763444345406904E-2</v>
      </c>
      <c r="L35" s="14">
        <f ca="1">+L36+L37</f>
        <v>5.9629598892758671E-2</v>
      </c>
      <c r="N35" s="14">
        <f>+N36+N37</f>
        <v>3.8770181612163737E-2</v>
      </c>
      <c r="P35" s="14">
        <f>+P36+P37</f>
        <v>5.4469889456435452E-2</v>
      </c>
      <c r="W35" s="20"/>
      <c r="X35" s="20"/>
    </row>
    <row r="36" spans="1:24" x14ac:dyDescent="0.55000000000000004">
      <c r="A36" t="str">
        <f>+A7</f>
        <v>deficit foreign currency</v>
      </c>
      <c r="B36" s="2">
        <f>+B30*((1+B$18)-(1+B20))/(1+B$18)</f>
        <v>3.9126955025596835E-2</v>
      </c>
      <c r="D36" s="2">
        <f>+D30*((1+D$18)-(1+D20))/(1+D$18)</f>
        <v>3.927880608002994E-2</v>
      </c>
      <c r="F36" s="2">
        <f ca="1">+F30*((1+F$18)-(1+F20))/(1+F$18)</f>
        <v>1.3728447295034481E-2</v>
      </c>
      <c r="J36" s="11">
        <f>+J30*((1+J$18)-(1+J20))/(1+J$18)</f>
        <v>4.6228020419739037E-2</v>
      </c>
      <c r="L36" s="2">
        <f ca="1">+L30*((1+L$18)-(1+L20))/(1+L$18)</f>
        <v>4.8223175858428668E-2</v>
      </c>
      <c r="N36" s="2">
        <f>+N30*((1+N$18)-(1+N20))/(1+N$18)</f>
        <v>2.9473129457968719E-2</v>
      </c>
      <c r="P36" s="2">
        <f>+P30*((1+P$18)-(1+P20))/(1+P$18)</f>
        <v>4.3063466422105449E-2</v>
      </c>
      <c r="W36" s="12"/>
      <c r="X36" s="12"/>
    </row>
    <row r="37" spans="1:24" x14ac:dyDescent="0.55000000000000004">
      <c r="A37" t="str">
        <f>+A8</f>
        <v>deficit local currency</v>
      </c>
      <c r="B37" s="2">
        <f>+B26*((1+B$18)-1)/(1+B$18)</f>
        <v>1.1406423034330005E-2</v>
      </c>
      <c r="D37" s="2">
        <f>+D26*((1+D$18)-1)/(1+D$18)</f>
        <v>1.1406423034330005E-2</v>
      </c>
      <c r="F37" s="2">
        <f>+F26*((1+F$18)-1)/(1+F$18)</f>
        <v>1.1406423034330005E-2</v>
      </c>
      <c r="J37" s="11">
        <f>+J26*((1+J$18)-1)/(1+J$18)</f>
        <v>1.1406423034330005E-2</v>
      </c>
      <c r="L37" s="2">
        <f ca="1">+L26*((1+L$18)-1)/(1+L$18)</f>
        <v>1.1406423034330005E-2</v>
      </c>
      <c r="M37" s="4"/>
      <c r="N37" s="2">
        <f>+N26*((1+N$18)-1)/(1+N$18)</f>
        <v>9.2970521541950145E-3</v>
      </c>
      <c r="P37" s="2">
        <f>+P26*((1+P$18)-1)/(1+P$18)</f>
        <v>1.1406423034330005E-2</v>
      </c>
      <c r="W37" s="21"/>
      <c r="X37" s="21"/>
    </row>
    <row r="38" spans="1:24" x14ac:dyDescent="0.55000000000000004">
      <c r="A38" s="37" t="s">
        <v>36</v>
      </c>
      <c r="B38" s="42">
        <v>0.03</v>
      </c>
      <c r="C38" s="53"/>
      <c r="D38" s="42">
        <v>0.03</v>
      </c>
      <c r="E38" s="42"/>
      <c r="F38" s="42">
        <v>0.03</v>
      </c>
      <c r="G38" s="42"/>
      <c r="H38" s="42">
        <v>0.03</v>
      </c>
      <c r="I38" s="42"/>
      <c r="J38" s="42">
        <v>0.04</v>
      </c>
      <c r="K38" s="42"/>
      <c r="L38" s="42">
        <f ca="1">+IF(L$14=1,B38,L38)</f>
        <v>0.05</v>
      </c>
      <c r="M38" s="4"/>
      <c r="N38" s="42">
        <v>0.03</v>
      </c>
      <c r="P38" s="42">
        <v>0.03</v>
      </c>
      <c r="W38" s="21"/>
      <c r="X38" s="21"/>
    </row>
    <row r="39" spans="1:24" x14ac:dyDescent="0.55000000000000004">
      <c r="A39" s="31" t="s">
        <v>16</v>
      </c>
      <c r="B39" s="55">
        <f>+B35+B38</f>
        <v>8.053337805992683E-2</v>
      </c>
      <c r="C39" s="34"/>
      <c r="D39" s="55">
        <f>+D35+D38</f>
        <v>8.0685229114359935E-2</v>
      </c>
      <c r="E39" s="31"/>
      <c r="F39" s="55">
        <f ca="1">+F35+F38</f>
        <v>5.5134870329364483E-2</v>
      </c>
      <c r="G39" s="55"/>
      <c r="H39" s="55">
        <f>+H35+H38</f>
        <v>8.4999999999999992E-2</v>
      </c>
      <c r="I39" s="55"/>
      <c r="J39" s="55">
        <f>+I35+J38</f>
        <v>9.5000000000000001E-2</v>
      </c>
      <c r="K39" s="31"/>
      <c r="L39" s="55">
        <f ca="1">+IF(L$14=1,B39,L39)</f>
        <v>0.10962959889275867</v>
      </c>
      <c r="M39" s="29"/>
      <c r="N39" s="55">
        <f>+N35+N38</f>
        <v>6.8770181612163736E-2</v>
      </c>
      <c r="P39" s="55">
        <f>+P35+P38</f>
        <v>8.4469889456435451E-2</v>
      </c>
      <c r="W39" s="30"/>
      <c r="X39" s="30"/>
    </row>
    <row r="40" spans="1:24" x14ac:dyDescent="0.55000000000000004">
      <c r="M40" s="29"/>
      <c r="W40" s="30"/>
      <c r="X40" s="30"/>
    </row>
    <row r="41" spans="1:24" x14ac:dyDescent="0.55000000000000004">
      <c r="M41" s="29"/>
      <c r="W41" s="30"/>
      <c r="X41" s="30"/>
    </row>
    <row r="42" spans="1:24" x14ac:dyDescent="0.55000000000000004">
      <c r="A42" s="1" t="s">
        <v>24</v>
      </c>
      <c r="B42" s="1" t="str">
        <f>+B1</f>
        <v>Sustainable deficit in % of GDP, as function of debt/GDP targets</v>
      </c>
    </row>
    <row r="43" spans="1:24" x14ac:dyDescent="0.55000000000000004">
      <c r="B43" s="5" t="str">
        <f>+B2</f>
        <v>function of debt/GDP anchor (foreign, domestic) and other assumptions/parameters</v>
      </c>
    </row>
    <row r="45" spans="1:24" x14ac:dyDescent="0.55000000000000004">
      <c r="B45" s="64" t="str">
        <f>+B15</f>
        <v>SCEN</v>
      </c>
      <c r="D45" s="62" t="str">
        <f>+D15</f>
        <v>QMFM Nov23</v>
      </c>
      <c r="F45" s="63" t="str">
        <f>+F15</f>
        <v>PCI Nov23 implicit</v>
      </c>
      <c r="H45" s="5"/>
      <c r="N45" s="64" t="str">
        <f>+N15</f>
        <v>lower growth</v>
      </c>
      <c r="P45" s="64" t="str">
        <f>+P15</f>
        <v>higher foreign CPI</v>
      </c>
    </row>
    <row r="46" spans="1:24" x14ac:dyDescent="0.55000000000000004">
      <c r="A46" s="69" t="s">
        <v>30</v>
      </c>
      <c r="B46" s="2"/>
    </row>
    <row r="47" spans="1:24" x14ac:dyDescent="0.55000000000000004">
      <c r="A47" s="65" t="str">
        <f>+A16</f>
        <v>real GDP</v>
      </c>
      <c r="B47" s="10">
        <f>+B16</f>
        <v>7.4999999999999997E-2</v>
      </c>
      <c r="C47" s="66"/>
      <c r="D47" s="10">
        <f>+D16</f>
        <v>7.4999999999999997E-2</v>
      </c>
      <c r="E47" s="66"/>
      <c r="F47" s="10">
        <f>+F16</f>
        <v>7.4999999999999997E-2</v>
      </c>
      <c r="I47" s="10"/>
      <c r="N47" s="10">
        <f>+N16</f>
        <v>0.05</v>
      </c>
      <c r="P47" s="10">
        <f>+P16</f>
        <v>7.4999999999999997E-2</v>
      </c>
    </row>
    <row r="48" spans="1:24" x14ac:dyDescent="0.55000000000000004">
      <c r="A48" s="66" t="str">
        <f>+A17</f>
        <v>GDP deflator (CPI, terms of trade)</v>
      </c>
      <c r="B48" s="67">
        <f>+B17</f>
        <v>0.05</v>
      </c>
      <c r="C48" s="66"/>
      <c r="D48" s="67">
        <f>+D17</f>
        <v>0.05</v>
      </c>
      <c r="E48" s="66"/>
      <c r="F48" s="67">
        <f>+F17</f>
        <v>0.05</v>
      </c>
      <c r="I48" s="67"/>
      <c r="N48" s="67">
        <f>+N17</f>
        <v>0.05</v>
      </c>
      <c r="P48" s="67">
        <f>+P17</f>
        <v>0.05</v>
      </c>
    </row>
    <row r="49" spans="1:16" x14ac:dyDescent="0.55000000000000004">
      <c r="A49" s="66" t="str">
        <f>+A19</f>
        <v>trading partner prices</v>
      </c>
      <c r="B49" s="10">
        <f>+B19</f>
        <v>0.02</v>
      </c>
      <c r="C49" s="66"/>
      <c r="D49" s="10">
        <f>+D19</f>
        <v>0.02</v>
      </c>
      <c r="E49" s="66"/>
      <c r="F49" s="10">
        <f>+F19</f>
        <v>1.4999999999999999E-2</v>
      </c>
      <c r="I49" s="10"/>
      <c r="N49" s="10">
        <f>+N19</f>
        <v>0.02</v>
      </c>
      <c r="P49" s="10">
        <f>+P19</f>
        <v>0.03</v>
      </c>
    </row>
    <row r="50" spans="1:16" x14ac:dyDescent="0.55000000000000004">
      <c r="A50" s="66" t="str">
        <f>+A21</f>
        <v xml:space="preserve">   RER change (equilibrium) path</v>
      </c>
      <c r="B50" s="67">
        <f>+B21</f>
        <v>0</v>
      </c>
      <c r="C50" s="66"/>
      <c r="D50" s="67">
        <f>+D21</f>
        <v>0</v>
      </c>
      <c r="E50" s="66"/>
      <c r="F50" s="67">
        <f ca="1">+F21</f>
        <v>0</v>
      </c>
      <c r="I50" s="67"/>
      <c r="N50" s="67">
        <f>+N21</f>
        <v>0</v>
      </c>
      <c r="P50" s="67">
        <f>+P21</f>
        <v>0</v>
      </c>
    </row>
    <row r="51" spans="1:16" x14ac:dyDescent="0.55000000000000004">
      <c r="A51" t="str">
        <f>+A18</f>
        <v>nominal GDP</v>
      </c>
      <c r="B51" s="2">
        <f>+B18</f>
        <v>0.12874999999999992</v>
      </c>
      <c r="D51" s="2">
        <f>+D18</f>
        <v>0.12874999999999992</v>
      </c>
      <c r="F51" s="2">
        <f>+F18</f>
        <v>0.12874999999999992</v>
      </c>
      <c r="I51" s="2"/>
      <c r="N51" s="2">
        <f>+N18</f>
        <v>0.10250000000000004</v>
      </c>
      <c r="P51" s="2">
        <f>+P18</f>
        <v>0.12874999999999992</v>
      </c>
    </row>
    <row r="52" spans="1:16" x14ac:dyDescent="0.55000000000000004">
      <c r="A52" t="str">
        <f>+A20</f>
        <v>exchange rate (for given RER change)</v>
      </c>
      <c r="B52" s="2">
        <f>+B20</f>
        <v>2.941176470588247E-2</v>
      </c>
      <c r="D52" s="2">
        <f>+D20</f>
        <v>2.941176470588247E-2</v>
      </c>
      <c r="F52" s="2">
        <f ca="1">+F20</f>
        <v>3.4482758620689724E-2</v>
      </c>
      <c r="I52" s="2"/>
      <c r="N52" s="2">
        <f>+N20</f>
        <v>2.941176470588247E-2</v>
      </c>
      <c r="P52" s="2">
        <f>+P20</f>
        <v>1.9417475728155331E-2</v>
      </c>
    </row>
    <row r="53" spans="1:16" x14ac:dyDescent="0.55000000000000004">
      <c r="A53" s="70" t="s">
        <v>45</v>
      </c>
      <c r="B53" s="2"/>
      <c r="D53" s="2"/>
      <c r="F53" s="2"/>
      <c r="I53" s="2"/>
      <c r="N53" s="2"/>
      <c r="P53" s="2"/>
    </row>
    <row r="54" spans="1:16" x14ac:dyDescent="0.55000000000000004">
      <c r="A54" s="66" t="str">
        <f>+A24</f>
        <v>NPV of debt/GDP (excl. guarantees)</v>
      </c>
      <c r="B54" s="67">
        <f>+B24</f>
        <v>0.44500000000000001</v>
      </c>
      <c r="C54" s="66"/>
      <c r="D54" s="67">
        <f>+D24</f>
        <v>0.44500000000000001</v>
      </c>
      <c r="E54" s="66"/>
      <c r="F54" s="67">
        <f>+F24</f>
        <v>0.22</v>
      </c>
      <c r="I54" s="67"/>
      <c r="N54" s="67">
        <f>+N24</f>
        <v>0.44500000000000001</v>
      </c>
      <c r="P54" s="67">
        <f>+P24</f>
        <v>0.44500000000000001</v>
      </c>
    </row>
    <row r="55" spans="1:16" x14ac:dyDescent="0.55000000000000004">
      <c r="A55" s="66" t="str">
        <f>+A26</f>
        <v>debt in local currency/GDP</v>
      </c>
      <c r="B55" s="67">
        <f>+B26</f>
        <v>0.1</v>
      </c>
      <c r="C55" s="66"/>
      <c r="D55" s="67">
        <f>+D26</f>
        <v>0.1</v>
      </c>
      <c r="E55" s="66"/>
      <c r="F55" s="67">
        <f>+F26</f>
        <v>0.1</v>
      </c>
      <c r="I55" s="67"/>
      <c r="N55" s="67">
        <f>+N26</f>
        <v>0.1</v>
      </c>
      <c r="P55" s="67">
        <f>+P26</f>
        <v>0.1</v>
      </c>
    </row>
    <row r="56" spans="1:16" x14ac:dyDescent="0.55000000000000004">
      <c r="A56" s="68" t="str">
        <f>+A27</f>
        <v>or: share debt foreign currency</v>
      </c>
      <c r="B56" s="68">
        <f>+B27</f>
        <v>0.8163748225272125</v>
      </c>
      <c r="C56" s="68"/>
      <c r="D56" s="68">
        <f ca="1">+D27</f>
        <v>0.8163748225272125</v>
      </c>
      <c r="E56" s="68"/>
      <c r="F56" s="68">
        <f>+F27</f>
        <v>0.62176165803108807</v>
      </c>
      <c r="I56" s="68"/>
      <c r="N56" s="68">
        <f>+N27</f>
        <v>0.8163748225272125</v>
      </c>
      <c r="P56" s="68">
        <f>+P27</f>
        <v>0.8163748225272125</v>
      </c>
    </row>
    <row r="57" spans="1:16" x14ac:dyDescent="0.55000000000000004">
      <c r="A57" s="68"/>
      <c r="B57" s="68"/>
      <c r="C57" s="68"/>
      <c r="D57" s="68"/>
      <c r="E57" s="68"/>
      <c r="F57" s="68"/>
      <c r="I57" s="68"/>
      <c r="N57" s="68"/>
      <c r="P57" s="68"/>
    </row>
    <row r="58" spans="1:16" x14ac:dyDescent="0.55000000000000004">
      <c r="A58" s="1" t="str">
        <f>+A32</f>
        <v>NPV of debt/GDP (excl. guarantees)</v>
      </c>
      <c r="B58" s="13">
        <f>+B32</f>
        <v>0.44500000000000001</v>
      </c>
      <c r="C58" s="68"/>
      <c r="D58" s="13">
        <f>+D32</f>
        <v>0.44500000000000001</v>
      </c>
      <c r="E58" s="68"/>
      <c r="F58" s="13">
        <f>+F32</f>
        <v>0.22</v>
      </c>
      <c r="G58" s="41"/>
      <c r="H58" s="41"/>
      <c r="I58" s="68"/>
      <c r="J58" s="41"/>
      <c r="K58" s="41"/>
      <c r="L58" s="41"/>
      <c r="M58" s="41"/>
      <c r="N58" s="13">
        <f>+N32</f>
        <v>0.44500000000000001</v>
      </c>
      <c r="P58" s="13">
        <f>+P32</f>
        <v>0.44500000000000001</v>
      </c>
    </row>
    <row r="59" spans="1:16" x14ac:dyDescent="0.55000000000000004">
      <c r="A59" t="str">
        <f>+A33</f>
        <v>NPV debt in foreign currency</v>
      </c>
      <c r="B59" s="41">
        <f>+B33</f>
        <v>0.34499999999999997</v>
      </c>
      <c r="D59" s="41">
        <f>+D33</f>
        <v>0.34499999999999997</v>
      </c>
      <c r="F59" s="41">
        <f>+F33</f>
        <v>0.12</v>
      </c>
      <c r="I59" s="41"/>
      <c r="N59" s="41">
        <f>+N33</f>
        <v>0.34499999999999997</v>
      </c>
      <c r="P59" s="41">
        <f>+P33</f>
        <v>0.34499999999999997</v>
      </c>
    </row>
    <row r="60" spans="1:16" x14ac:dyDescent="0.55000000000000004">
      <c r="A60" s="66" t="str">
        <f>+A22</f>
        <v>grant element foreign currency debt</v>
      </c>
      <c r="B60" s="68">
        <f>+B22</f>
        <v>0.224</v>
      </c>
      <c r="C60" s="68"/>
      <c r="D60" s="68">
        <f>+D22</f>
        <v>0.22700000000000001</v>
      </c>
      <c r="E60" s="68"/>
      <c r="F60" s="68">
        <f>+F22</f>
        <v>0.27</v>
      </c>
      <c r="G60" s="68"/>
      <c r="H60" s="68"/>
      <c r="I60" s="68"/>
      <c r="J60" s="68"/>
      <c r="K60" s="68"/>
      <c r="L60" s="68"/>
      <c r="M60" s="68"/>
      <c r="N60" s="68">
        <f>+N22</f>
        <v>0.224</v>
      </c>
      <c r="P60" s="68">
        <f>+P22</f>
        <v>0.224</v>
      </c>
    </row>
    <row r="61" spans="1:16" x14ac:dyDescent="0.55000000000000004">
      <c r="B61" s="2"/>
      <c r="D61" s="2"/>
      <c r="F61" s="2"/>
      <c r="I61" s="2"/>
      <c r="N61" s="2"/>
      <c r="P61" s="2"/>
    </row>
    <row r="62" spans="1:16" x14ac:dyDescent="0.55000000000000004">
      <c r="A62" s="1" t="str">
        <f>+A29</f>
        <v>Nominal debt/GDP (excl. guarantees)</v>
      </c>
      <c r="B62" s="13">
        <f>+B29</f>
        <v>0.54458762886597933</v>
      </c>
      <c r="C62" s="1"/>
      <c r="D62" s="13">
        <f>+D29</f>
        <v>0.54631306597671403</v>
      </c>
      <c r="E62" s="1"/>
      <c r="F62" s="13">
        <f>+F29</f>
        <v>0.26438356164383559</v>
      </c>
      <c r="I62" s="13"/>
      <c r="N62" s="13">
        <f>+N29</f>
        <v>0.54458762886597933</v>
      </c>
      <c r="P62" s="13">
        <f>+P29</f>
        <v>0.54458762886597933</v>
      </c>
    </row>
    <row r="63" spans="1:16" x14ac:dyDescent="0.55000000000000004">
      <c r="A63" t="str">
        <f>+A55</f>
        <v>debt in local currency/GDP</v>
      </c>
      <c r="B63" s="41">
        <f>+B55</f>
        <v>0.1</v>
      </c>
      <c r="D63" s="41">
        <f>+D55</f>
        <v>0.1</v>
      </c>
      <c r="F63" s="41">
        <f>+F55</f>
        <v>0.1</v>
      </c>
      <c r="I63" s="41"/>
      <c r="N63" s="41">
        <f>+N55</f>
        <v>0.1</v>
      </c>
      <c r="P63" s="41">
        <f>+P55</f>
        <v>0.1</v>
      </c>
    </row>
    <row r="64" spans="1:16" x14ac:dyDescent="0.55000000000000004">
      <c r="A64" t="str">
        <f>+A30</f>
        <v>debt in foreign currency/GDP</v>
      </c>
      <c r="B64" s="41">
        <f>+B30</f>
        <v>0.44458762886597936</v>
      </c>
      <c r="D64" s="41">
        <f>+D30</f>
        <v>0.44631306597671405</v>
      </c>
      <c r="F64" s="41">
        <f>+F30</f>
        <v>0.16438356164383561</v>
      </c>
      <c r="I64" s="41"/>
      <c r="N64" s="41">
        <f>+N30</f>
        <v>0.44458762886597936</v>
      </c>
      <c r="P64" s="41">
        <f>+P30</f>
        <v>0.44458762886597936</v>
      </c>
    </row>
    <row r="66" spans="1:16" x14ac:dyDescent="0.55000000000000004">
      <c r="A66" s="1" t="str">
        <f>+A35</f>
        <v>sustainable debt-creating deficit</v>
      </c>
      <c r="B66" s="14">
        <f>+B35</f>
        <v>5.0533378059926838E-2</v>
      </c>
      <c r="C66" s="2"/>
      <c r="D66" s="14">
        <f>+D35</f>
        <v>5.0685229114359943E-2</v>
      </c>
      <c r="E66" s="2"/>
      <c r="F66" s="14">
        <f ca="1">+F35</f>
        <v>2.5134870329364484E-2</v>
      </c>
      <c r="I66" s="14"/>
      <c r="N66" s="14">
        <f>+N35</f>
        <v>3.8770181612163737E-2</v>
      </c>
      <c r="P66" s="14">
        <f>+P35</f>
        <v>5.4469889456435452E-2</v>
      </c>
    </row>
    <row r="67" spans="1:16" x14ac:dyDescent="0.55000000000000004">
      <c r="A67" t="str">
        <f>+A38</f>
        <v>assumption sustainable grants</v>
      </c>
      <c r="B67" s="2">
        <f>+B38</f>
        <v>0.03</v>
      </c>
      <c r="C67" s="2"/>
      <c r="D67" s="2">
        <f>+D38</f>
        <v>0.03</v>
      </c>
      <c r="E67" s="2"/>
      <c r="F67" s="2">
        <f>+F38</f>
        <v>0.03</v>
      </c>
      <c r="I67" s="2"/>
      <c r="N67" s="2">
        <f>+N38</f>
        <v>0.03</v>
      </c>
      <c r="P67" s="2">
        <f>+P38</f>
        <v>0.03</v>
      </c>
    </row>
    <row r="68" spans="1:16" x14ac:dyDescent="0.55000000000000004">
      <c r="A68" s="1" t="str">
        <f>+A39</f>
        <v>sustainable deficit before grants</v>
      </c>
      <c r="B68" s="14">
        <f>+B39</f>
        <v>8.053337805992683E-2</v>
      </c>
      <c r="C68" s="2"/>
      <c r="D68" s="14">
        <f>+D39</f>
        <v>8.0685229114359935E-2</v>
      </c>
      <c r="E68" s="2"/>
      <c r="F68" s="14">
        <f ca="1">+F39</f>
        <v>5.5134870329364483E-2</v>
      </c>
      <c r="I68" s="14"/>
      <c r="N68" s="14">
        <f>+N39</f>
        <v>6.8770181612163736E-2</v>
      </c>
      <c r="P68" s="14">
        <f>+P39</f>
        <v>8.4469889456435451E-2</v>
      </c>
    </row>
    <row r="70" spans="1:16" x14ac:dyDescent="0.55000000000000004">
      <c r="A70" t="s">
        <v>43</v>
      </c>
    </row>
  </sheetData>
  <pageMargins left="0.2" right="0.2" top="0.25" bottom="0.25" header="0.3" footer="0.3"/>
  <pageSetup scale="98" orientation="landscape" horizontalDpi="4294967293" r:id="rId1"/>
  <ignoredErrors>
    <ignoredError sqref="A59:B59 L25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Sum_tab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Evariste MANIRUMVA</cp:lastModifiedBy>
  <cp:lastPrinted>2024-01-25T15:50:16Z</cp:lastPrinted>
  <dcterms:created xsi:type="dcterms:W3CDTF">2021-12-28T16:58:24Z</dcterms:created>
  <dcterms:modified xsi:type="dcterms:W3CDTF">2024-03-06T20:21:32Z</dcterms:modified>
</cp:coreProperties>
</file>