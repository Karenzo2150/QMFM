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d\Documents\aa Local Docs\MyWorkingDocs\AK files\Rwa\My mission docs\intMF modules\6. macroeconometric\RwametricMMM 11 April 2022\"/>
    </mc:Choice>
  </mc:AlternateContent>
  <xr:revisionPtr revIDLastSave="0" documentId="13_ncr:1_{1C7619B7-F3CD-4BDA-81FB-FC282FA6C594}" xr6:coauthVersionLast="47" xr6:coauthVersionMax="47" xr10:uidLastSave="{00000000-0000-0000-0000-000000000000}"/>
  <bookViews>
    <workbookView xWindow="-110" yWindow="-110" windowWidth="19420" windowHeight="10420" xr2:uid="{88228A9F-2F45-4AC0-AF82-DDE885F9A54D}"/>
  </bookViews>
  <sheets>
    <sheet name="Sheet1" sheetId="1" r:id="rId1"/>
  </sheets>
  <definedNames>
    <definedName name="_xlnm.Print_Area" localSheetId="0">Sheet1!$A$2:$J$205</definedName>
    <definedName name="tab_param">Sheet1!$A$2:$J$205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5" i="1" l="1"/>
  <c r="A89" i="1"/>
  <c r="A80" i="1"/>
  <c r="A73" i="1"/>
  <c r="A65" i="1"/>
  <c r="A72" i="1" s="1"/>
  <c r="A64" i="1"/>
  <c r="A71" i="1" s="1"/>
  <c r="A37" i="1"/>
  <c r="A50" i="1"/>
  <c r="A49" i="1"/>
  <c r="A36" i="1"/>
  <c r="A35" i="1"/>
  <c r="A32" i="1"/>
  <c r="A29" i="1"/>
  <c r="A39" i="1" s="1"/>
  <c r="A28" i="1"/>
  <c r="A27" i="1"/>
  <c r="A26" i="1"/>
  <c r="A25" i="1"/>
  <c r="A24" i="1"/>
  <c r="A79" i="1" l="1"/>
  <c r="A78" i="1"/>
</calcChain>
</file>

<file path=xl/sharedStrings.xml><?xml version="1.0" encoding="utf-8"?>
<sst xmlns="http://schemas.openxmlformats.org/spreadsheetml/2006/main" count="339" uniqueCount="333">
  <si>
    <t xml:space="preserve"> </t>
  </si>
  <si>
    <t xml:space="preserve">Macro Minecofin/Matlab Model--parameters </t>
  </si>
  <si>
    <t xml:space="preserve">Fiscal deficit </t>
  </si>
  <si>
    <t>IMF WP/20/295</t>
  </si>
  <si>
    <t>IMF WP/14/159</t>
  </si>
  <si>
    <t xml:space="preserve">NMB Hungary </t>
  </si>
  <si>
    <t>OGR Armenia</t>
  </si>
  <si>
    <t>SARB Safrica</t>
  </si>
  <si>
    <t>NBR/IMF Rwa</t>
  </si>
  <si>
    <t>Charry et al. Rwa</t>
  </si>
  <si>
    <t>Ghana</t>
  </si>
  <si>
    <t>Persistence of discretionary component</t>
  </si>
  <si>
    <t>Persistence of structural component</t>
  </si>
  <si>
    <t>Government consumption gap in discretionary deficit</t>
  </si>
  <si>
    <t>Government consumption trend in structural deficit</t>
  </si>
  <si>
    <t>Lag, persistence (AR1)</t>
  </si>
  <si>
    <t>Expectation (t+1)</t>
  </si>
  <si>
    <t>Output gap</t>
  </si>
  <si>
    <t>Fiscal impulse</t>
  </si>
  <si>
    <t>Weight of RIR in RMCI</t>
  </si>
  <si>
    <t>d4  = 0.95</t>
  </si>
  <si>
    <t>d1  = 0.30</t>
  </si>
  <si>
    <t>d2  = 0.00</t>
  </si>
  <si>
    <t>d3  = 0.50</t>
  </si>
  <si>
    <t>d5  = 0.10</t>
  </si>
  <si>
    <t>d6  = 0.02</t>
  </si>
  <si>
    <t>d7  = 0.95</t>
  </si>
  <si>
    <t>a1_cons   = 0.65</t>
  </si>
  <si>
    <t>a2_cons   = 0.00</t>
  </si>
  <si>
    <t>a3_cons   = 0.1</t>
  </si>
  <si>
    <t>a4_cons   = 0.3</t>
  </si>
  <si>
    <t>a5_cons   = 0.5</t>
  </si>
  <si>
    <t>a6_cons   = 1</t>
  </si>
  <si>
    <t>d7  = 0.95; Persistence of fiscal grants</t>
  </si>
  <si>
    <t>Consumption gap</t>
  </si>
  <si>
    <t>Investment gap</t>
  </si>
  <si>
    <t>Government demand gap</t>
  </si>
  <si>
    <t>Export gap</t>
  </si>
  <si>
    <t>Import gap</t>
  </si>
  <si>
    <t>Steady states</t>
  </si>
  <si>
    <t>Standard errors</t>
  </si>
  <si>
    <t>Reporting equation parameters</t>
  </si>
  <si>
    <t>a1_inv   = 0.65</t>
  </si>
  <si>
    <t>a2_inv   = 0.00</t>
  </si>
  <si>
    <t>a3_inv   = 0.1</t>
  </si>
  <si>
    <t>a4_inv   = 0.3</t>
  </si>
  <si>
    <t>a5_inv   = 0.3</t>
  </si>
  <si>
    <t>a6_inv   = 1</t>
  </si>
  <si>
    <t>a1_gdem   = 0.65</t>
  </si>
  <si>
    <t>Foreign demand (WEO-GEE, trading partners)</t>
  </si>
  <si>
    <t>a1_exp  = 0.65</t>
  </si>
  <si>
    <t>a2_exp  = 0.00</t>
  </si>
  <si>
    <t>a3_exp  = 0.1</t>
  </si>
  <si>
    <t>a5_exp  = 0.5</t>
  </si>
  <si>
    <t>a6_exp  = 0</t>
  </si>
  <si>
    <t>a1_imp      = 0.1</t>
  </si>
  <si>
    <t>Real Exchange Rate (RER)</t>
  </si>
  <si>
    <t xml:space="preserve">Weight of consumption in imports </t>
  </si>
  <si>
    <t xml:space="preserve">Weight of investment in imports </t>
  </si>
  <si>
    <t xml:space="preserve">Weight of government demand in imports </t>
  </si>
  <si>
    <t xml:space="preserve">Weight of exports demand in imports </t>
  </si>
  <si>
    <t>w_imp_cons  = 0.23</t>
  </si>
  <si>
    <t>w_imp_inv   = 0.31</t>
  </si>
  <si>
    <t>w_imp_gdem  = 0.31</t>
  </si>
  <si>
    <t>w_imp_exp   = 0.15</t>
  </si>
  <si>
    <t>JC</t>
  </si>
  <si>
    <t>AK</t>
  </si>
  <si>
    <t>AiKa</t>
  </si>
  <si>
    <t>ElS</t>
  </si>
  <si>
    <t>EM</t>
  </si>
  <si>
    <t>DT</t>
  </si>
  <si>
    <t>Real Monetary Conditions Index (RMCI)</t>
  </si>
  <si>
    <t>Foreign output gap</t>
  </si>
  <si>
    <t>Weight if RIR in RMCI</t>
  </si>
  <si>
    <t>Alternative: IS curve specification Output gap</t>
  </si>
  <si>
    <t>w_y_cons    = 0.78</t>
  </si>
  <si>
    <t>w_y_gdem   = 0.23</t>
  </si>
  <si>
    <t>w_y_exp     = 0.21</t>
  </si>
  <si>
    <t>w_y_imp     = 0.35</t>
  </si>
  <si>
    <t>w_y_inv     = 0.3</t>
  </si>
  <si>
    <t>Weight of consumption in output</t>
  </si>
  <si>
    <t>Weight of government demand in output</t>
  </si>
  <si>
    <t>Weight of exports in output</t>
  </si>
  <si>
    <t>Weight of imports in output</t>
  </si>
  <si>
    <t>Weight of investment in output</t>
  </si>
  <si>
    <t>a1  = 0.65</t>
  </si>
  <si>
    <t>a2  = 0.00</t>
  </si>
  <si>
    <t>a3  = 0.15</t>
  </si>
  <si>
    <t>a4  = 0.2</t>
  </si>
  <si>
    <t>a5  = 0.3</t>
  </si>
  <si>
    <t>a6  = 0.5</t>
  </si>
  <si>
    <r>
      <t>Weights of demand components in Output gap (</t>
    </r>
    <r>
      <rPr>
        <b/>
        <sz val="9"/>
        <color theme="1"/>
        <rFont val="Calibri"/>
        <family val="2"/>
      </rPr>
      <t>∑=1</t>
    </r>
    <r>
      <rPr>
        <b/>
        <sz val="11"/>
        <color theme="1"/>
        <rFont val="Calibri"/>
        <family val="2"/>
      </rPr>
      <t>)</t>
    </r>
  </si>
  <si>
    <t>Phillips curve core inflation</t>
  </si>
  <si>
    <t>Phillips curve food inflation</t>
  </si>
  <si>
    <t>Phillips curve energy inflation</t>
  </si>
  <si>
    <t>Exchange rate</t>
  </si>
  <si>
    <t>Monetary policy rule</t>
  </si>
  <si>
    <t xml:space="preserve">Real marginal cost (RMC) </t>
  </si>
  <si>
    <t>Weight of Output gap in RMC</t>
  </si>
  <si>
    <t>1 - b1 - b3 = 0.6</t>
  </si>
  <si>
    <t>b2  = 0.20</t>
  </si>
  <si>
    <t>b3  = 0.05</t>
  </si>
  <si>
    <t>b4  = 0.80</t>
  </si>
  <si>
    <t>Direct effect foreign food inflation</t>
  </si>
  <si>
    <t>Direct effect foreign inflation</t>
  </si>
  <si>
    <t>Agricultural output gap</t>
  </si>
  <si>
    <t>bf4 = 0.5</t>
  </si>
  <si>
    <t>bf3 = 0.03</t>
  </si>
  <si>
    <t>bf2 = 0.1</t>
  </si>
  <si>
    <t>bf1 = 0.5</t>
  </si>
  <si>
    <t>b1  = 0.35</t>
  </si>
  <si>
    <t>1 - bf1 - bf3 = 0.47</t>
  </si>
  <si>
    <t>be3 = 0.01</t>
  </si>
  <si>
    <t>be2 = 0.01</t>
  </si>
  <si>
    <t>be1 = 0.5</t>
  </si>
  <si>
    <t>1 - be1 - be3 = 0.49</t>
  </si>
  <si>
    <t>Direct effect foreign oil price inflation</t>
  </si>
  <si>
    <t>Headline inflation</t>
  </si>
  <si>
    <t>Weight of food</t>
  </si>
  <si>
    <t>Weight of core</t>
  </si>
  <si>
    <t>Weight of energy</t>
  </si>
  <si>
    <t>w_core = 0.7747</t>
  </si>
  <si>
    <t>w_food = 0.1577</t>
  </si>
  <si>
    <t>w_ener =  0.0676</t>
  </si>
  <si>
    <t>Exchange rate deviation (from target)</t>
  </si>
  <si>
    <t>Inflation deviation (from inflation target)</t>
  </si>
  <si>
    <t>c1 = 0.5</t>
  </si>
  <si>
    <t>c2 = 0.5</t>
  </si>
  <si>
    <t>c3 = 0.5</t>
  </si>
  <si>
    <t>c4 = 0.0</t>
  </si>
  <si>
    <t>c5 = 0.9</t>
  </si>
  <si>
    <t>Lending rate premium, lag (AR1)</t>
  </si>
  <si>
    <t>CPI target, lag (AR1)</t>
  </si>
  <si>
    <t>c6 = 0.9</t>
  </si>
  <si>
    <t>Weight of UIP (pure ER target =0 ; pure UIP =1)</t>
  </si>
  <si>
    <t>e1 = 0.5</t>
  </si>
  <si>
    <t>Forward looking: expected exchange rate</t>
  </si>
  <si>
    <t>e2 = 0.2</t>
  </si>
  <si>
    <t>Country interest rate premium, lag (AR1)</t>
  </si>
  <si>
    <t>e3 = 0.9</t>
  </si>
  <si>
    <t>Targeted depreciation, lag (AR1)</t>
  </si>
  <si>
    <t>e4 = 0.00</t>
  </si>
  <si>
    <t>Targeted depr. in response to inflation deviation</t>
  </si>
  <si>
    <t>e5 = 0.30</t>
  </si>
  <si>
    <t>Targeted depr. in response to RER gap</t>
  </si>
  <si>
    <t>e6 = 0.85</t>
  </si>
  <si>
    <t>Real money demand</t>
  </si>
  <si>
    <t>Interest rate in deviation from trend</t>
  </si>
  <si>
    <t>Velocity, lag, persistence (AR1)</t>
  </si>
  <si>
    <t>m3 = 0.9</t>
  </si>
  <si>
    <t>m2 = 0.5</t>
  </si>
  <si>
    <t>m1 = 0.7</t>
  </si>
  <si>
    <t>Agricultural output trend</t>
  </si>
  <si>
    <t>Consumption</t>
  </si>
  <si>
    <t>Investment</t>
  </si>
  <si>
    <t>Government demand</t>
  </si>
  <si>
    <t xml:space="preserve">Exports </t>
  </si>
  <si>
    <t>Imports</t>
  </si>
  <si>
    <t>Real exchange rate (RER)</t>
  </si>
  <si>
    <t>r1_y_agr    = 0.40</t>
  </si>
  <si>
    <t>r2_y_agr    = 0.80</t>
  </si>
  <si>
    <t>r_cons      = 0.95</t>
  </si>
  <si>
    <t>r_inv       = 0.95</t>
  </si>
  <si>
    <t>r_gdem      = 0.95</t>
  </si>
  <si>
    <t>r_exp       = 0.95</t>
  </si>
  <si>
    <t>r_imp       = 0.95</t>
  </si>
  <si>
    <t>r_z         = 0.95</t>
  </si>
  <si>
    <t>r_rp_food   = 0.90</t>
  </si>
  <si>
    <t>r_rp_ener   = 0.90</t>
  </si>
  <si>
    <t>ss_bor_str    =  6</t>
  </si>
  <si>
    <t>External borrowing by government (in % of GDP)</t>
  </si>
  <si>
    <t xml:space="preserve">External grants to government </t>
  </si>
  <si>
    <t>ss_debt_fcy_rat  =  0.85</t>
  </si>
  <si>
    <t>Trend growth real GDP</t>
  </si>
  <si>
    <t>Trend growth real agricultural GDP</t>
  </si>
  <si>
    <t>CPI inflation target</t>
  </si>
  <si>
    <r>
      <t>Trend growth relative price food</t>
    </r>
    <r>
      <rPr>
        <sz val="9"/>
        <color theme="1"/>
        <rFont val="Calibri"/>
        <family val="2"/>
        <scheme val="minor"/>
      </rPr>
      <t xml:space="preserve"> (relative to headline)</t>
    </r>
  </si>
  <si>
    <r>
      <t xml:space="preserve">Relative price energy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</si>
  <si>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Relative price food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</si>
  <si>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Trend growth relative price energy </t>
    </r>
    <r>
      <rPr>
        <sz val="9"/>
        <color theme="1"/>
        <rFont val="Calibri"/>
        <family val="2"/>
        <scheme val="minor"/>
      </rPr>
      <t>(relative to headline)</t>
    </r>
  </si>
  <si>
    <t>ss_dl_y_agr_tnd = 100*log(1 + 8/100)</t>
  </si>
  <si>
    <t>Trend growth RER</t>
  </si>
  <si>
    <t>Country interest rate premium</t>
  </si>
  <si>
    <t>ss_prem_d  =  8.5</t>
  </si>
  <si>
    <t>ss_prem    =  3</t>
  </si>
  <si>
    <t>ss_dl_z_tnd  =  0.0</t>
  </si>
  <si>
    <t>ss_dl_rp_cpi_ener_tnd = 0.0</t>
  </si>
  <si>
    <t>ss_grants   =  5</t>
  </si>
  <si>
    <t>ss_dl_y_tnd =  100*log(1 + 7.5/100)</t>
  </si>
  <si>
    <t>ss_prem_debt_fcy  = -0.5</t>
  </si>
  <si>
    <t>ss_prem_debt_lcy  =  2.8</t>
  </si>
  <si>
    <t xml:space="preserve">Trend growth velocity of money </t>
  </si>
  <si>
    <r>
      <t xml:space="preserve">Domestic lending premium </t>
    </r>
    <r>
      <rPr>
        <sz val="9"/>
        <color theme="1"/>
        <rFont val="Calibri"/>
        <family val="2"/>
        <scheme val="minor"/>
      </rPr>
      <t>(over policy rate)</t>
    </r>
  </si>
  <si>
    <r>
      <t>Government foreign borrowing premium</t>
    </r>
    <r>
      <rPr>
        <sz val="9"/>
        <color theme="1"/>
        <rFont val="Calibri"/>
        <family val="2"/>
        <scheme val="minor"/>
      </rPr>
      <t xml:space="preserve"> (discount)</t>
    </r>
  </si>
  <si>
    <r>
      <t>Government domestic borrowing premium</t>
    </r>
    <r>
      <rPr>
        <sz val="9"/>
        <color theme="1"/>
        <rFont val="Calibri"/>
        <family val="2"/>
        <scheme val="minor"/>
      </rPr>
      <t xml:space="preserve"> (over policy rate)</t>
    </r>
  </si>
  <si>
    <t>Shock in discretionary deficit</t>
  </si>
  <si>
    <t>Shock in consumption gap</t>
  </si>
  <si>
    <t>Shock in investment gap</t>
  </si>
  <si>
    <t>Shock in government demand gap</t>
  </si>
  <si>
    <t>Shock in export gap</t>
  </si>
  <si>
    <t>Shock in import demand gap</t>
  </si>
  <si>
    <t xml:space="preserve">Shock in food CPI Inflation </t>
  </si>
  <si>
    <t xml:space="preserve">Shock in energy CPI Inflation </t>
  </si>
  <si>
    <t xml:space="preserve">Shock in core CPI Inflation </t>
  </si>
  <si>
    <t xml:space="preserve">Shock in  policy interest rate </t>
  </si>
  <si>
    <t>Shock in log nominal exchange rate</t>
  </si>
  <si>
    <t>Shock in real money demand growth rate</t>
  </si>
  <si>
    <t>Shock in velocity growth rate</t>
  </si>
  <si>
    <t>std_shock_def_discr     = 3.0</t>
  </si>
  <si>
    <t>std_shock_l_cons_gap    = 2.5</t>
  </si>
  <si>
    <t>std_shock_l_inv_gap     = 6</t>
  </si>
  <si>
    <t>std_shock_l_gdem_gap    = 6</t>
  </si>
  <si>
    <t>std_shock_l_exp_gap     = 6</t>
  </si>
  <si>
    <t>std_shock_l_imp_gap     = 0.5</t>
  </si>
  <si>
    <t>std_shock_dl_cpi_ener   = 3.5</t>
  </si>
  <si>
    <t>std_shock_l_s           = 0.35</t>
  </si>
  <si>
    <t>std_shock_dl_rmd        = 1</t>
  </si>
  <si>
    <t>std_shock_dl_v          = 0.1</t>
  </si>
  <si>
    <t>std_shock_i             = 1</t>
  </si>
  <si>
    <t>std_shock_dl_cpi_core   = 2</t>
  </si>
  <si>
    <t>std_shock_dl_cpi_food   = 9</t>
  </si>
  <si>
    <t>std_shock_prem_d_gap   = 0.80</t>
  </si>
  <si>
    <t>Standard errors in discrepancy shocks</t>
  </si>
  <si>
    <t>Shock in output gap</t>
  </si>
  <si>
    <t>Shock in agricultural output gap</t>
  </si>
  <si>
    <t>Shock in CPI</t>
  </si>
  <si>
    <t>std_shock_l_y_gap = 1e-4;</t>
  </si>
  <si>
    <t>std_shock_l_cpi = 1e-4;</t>
  </si>
  <si>
    <t>std_shock_l_y_agr_gap = 0.3</t>
  </si>
  <si>
    <t>Shock in structural deficit</t>
  </si>
  <si>
    <t>Shock in trend consumption growth</t>
  </si>
  <si>
    <t>Shock in trend investment growth</t>
  </si>
  <si>
    <t>Shock in trend government demand growth</t>
  </si>
  <si>
    <t>Shock in trend export growth</t>
  </si>
  <si>
    <t>Shock in trend import demand growth</t>
  </si>
  <si>
    <t>Shock in trend RER growth</t>
  </si>
  <si>
    <t>Shock in target CPI inflation rate</t>
  </si>
  <si>
    <t>Shock in trend relative food price growth</t>
  </si>
  <si>
    <t>Shock in trend relative energy price growth</t>
  </si>
  <si>
    <t>Shock in target nominal depreciation rate</t>
  </si>
  <si>
    <t>std_shock_def_str             = 0.30</t>
  </si>
  <si>
    <t>std_shock_grants              = 0.30</t>
  </si>
  <si>
    <t>std_shock_dl_cons_tnd         = 0.25</t>
  </si>
  <si>
    <t>std_shock_dl_inv_tnd          = 0.50</t>
  </si>
  <si>
    <t>std_shock_dl_gdem_tnd         = 0.50</t>
  </si>
  <si>
    <t>std_shock_dl_exp_tnd          = 0.75</t>
  </si>
  <si>
    <t>std_shock_dl_imp_tnd          = 0.25</t>
  </si>
  <si>
    <t>std_shock_dl_z_tnd            = 0.10</t>
  </si>
  <si>
    <t>std_shock_d4l_cpi_tar         = 0.10</t>
  </si>
  <si>
    <t>std_shock_dl_rp_cpi_food_tnd  = 0.50</t>
  </si>
  <si>
    <t>std_shock_dl_rp_cpi_ener_tnd  = 0.15</t>
  </si>
  <si>
    <t>std_shock_dl_s_tar            = 0.30</t>
  </si>
  <si>
    <t>std_shock_prem                = 0.10</t>
  </si>
  <si>
    <t>ss_dl_rp_foodstar_tnd   = 0</t>
  </si>
  <si>
    <t>ss_dl_rp_enerstar_tnd   = 0</t>
  </si>
  <si>
    <t>r_rp_foodstar_gap   = 0.62</t>
  </si>
  <si>
    <t>r_rp_enerstar_gap    = 0.73</t>
  </si>
  <si>
    <t>r_rp_foodstar_tnd   = 0.90</t>
  </si>
  <si>
    <t>r_rp_enerstar_tnd   = 0.90</t>
  </si>
  <si>
    <t>std_shock_l_ystar_gap         = 0.25</t>
  </si>
  <si>
    <t>std_shock_dl_cpistar          = 3.8</t>
  </si>
  <si>
    <t>std_shock_istar               = 0.45</t>
  </si>
  <si>
    <t>std_shock_rstar_tnd           = 0.5</t>
  </si>
  <si>
    <t>std_shock_l_rp_foodstar_gap   = 5.3</t>
  </si>
  <si>
    <t>std_shock_l_rp_enerstar_gap   = 13.9</t>
  </si>
  <si>
    <t>ss_dl_cpistar  = 100*log(1 + 2/100)</t>
  </si>
  <si>
    <t>ss_rstar_tnd = 0</t>
  </si>
  <si>
    <t>r_ystar  = 0.94</t>
  </si>
  <si>
    <t>r_cpistar  = 0.80</t>
  </si>
  <si>
    <t>r_istar  = 0.80</t>
  </si>
  <si>
    <t>r_rstar_tnd  = 0.90</t>
  </si>
  <si>
    <t>Steady state foreign inflation rate</t>
  </si>
  <si>
    <t>Steady state growth in foreign relative energy price</t>
  </si>
  <si>
    <t xml:space="preserve">Steady state trend foreign real interest rate </t>
  </si>
  <si>
    <t xml:space="preserve">Steady state trend foreign nominal interest rate </t>
  </si>
  <si>
    <t>External steady states</t>
  </si>
  <si>
    <t xml:space="preserve">External persistence </t>
  </si>
  <si>
    <t>External shocks</t>
  </si>
  <si>
    <r>
      <t>Foreign GDP</t>
    </r>
    <r>
      <rPr>
        <sz val="9"/>
        <color theme="1"/>
        <rFont val="Calibri"/>
        <family val="2"/>
        <scheme val="minor"/>
      </rPr>
      <t xml:space="preserve"> (Rwanda trading partners)</t>
    </r>
  </si>
  <si>
    <r>
      <t>Foreign CPI</t>
    </r>
    <r>
      <rPr>
        <sz val="9"/>
        <color theme="1"/>
        <rFont val="Calibri"/>
        <family val="2"/>
        <scheme val="minor"/>
      </rPr>
      <t xml:space="preserve"> (Rwanda trading partners)</t>
    </r>
  </si>
  <si>
    <t>Foreign nominal interest rate</t>
  </si>
  <si>
    <t>Foreign relative food price gap</t>
  </si>
  <si>
    <t>Foreign relative energy price gap</t>
  </si>
  <si>
    <t>Foreign relative food price trend</t>
  </si>
  <si>
    <t>Foreign relative energy price trend</t>
  </si>
  <si>
    <t>Shock in foreign output gap</t>
  </si>
  <si>
    <t>Shock in foreign inflation rate</t>
  </si>
  <si>
    <t>Shock in foreign real interest rate trend</t>
  </si>
  <si>
    <t>Shock in foreign nominal interest rate</t>
  </si>
  <si>
    <t>Shock in foreign relative food price gap</t>
  </si>
  <si>
    <t>Shock in foreign relative energy price gap</t>
  </si>
  <si>
    <t>Shock in foreign relative food price trend</t>
  </si>
  <si>
    <t>Shock in foreign relative energy price trend</t>
  </si>
  <si>
    <t>Ratio foreign currency debt/total government debt</t>
  </si>
  <si>
    <t>Persistence of ratio foreign debt/total government debt</t>
  </si>
  <si>
    <t xml:space="preserve">mu_pexp = 0.2 </t>
  </si>
  <si>
    <t>mu_pimp = 0.35</t>
  </si>
  <si>
    <t xml:space="preserve">r_debt_fcy_rat = 0.9 </t>
  </si>
  <si>
    <t xml:space="preserve">Persistence of interest rate foreign debt </t>
  </si>
  <si>
    <t xml:space="preserve">Persistence of interest rate domestic debt </t>
  </si>
  <si>
    <t>r_debt_fcy_intrate_pers = 0.9</t>
  </si>
  <si>
    <t xml:space="preserve">r_debt_lcy_intrate_pers = 0.9 </t>
  </si>
  <si>
    <t>Response private capital inflows to UIP</t>
  </si>
  <si>
    <t>gamma_r = 0.5</t>
  </si>
  <si>
    <t>Persistence  private capital inflows</t>
  </si>
  <si>
    <t xml:space="preserve">gamma_k = 0.8 </t>
  </si>
  <si>
    <t>Steady state stock of cumulative private capital inflows</t>
  </si>
  <si>
    <t xml:space="preserve">k_bar   = 100*log(6500) </t>
  </si>
  <si>
    <t xml:space="preserve">this study </t>
  </si>
  <si>
    <t>Berg et al.</t>
  </si>
  <si>
    <t>IMF</t>
  </si>
  <si>
    <t>EvM</t>
  </si>
  <si>
    <t>NBR Rwa</t>
  </si>
  <si>
    <t>ss_dl_rp_cpi_food_tnd = 100*log(1 + 2/100)</t>
  </si>
  <si>
    <t>ss_d4l_cpi_tar = 100*log(1 + 5/100)</t>
  </si>
  <si>
    <t>ss_dl_v  =  100*log(1 - 2/100)</t>
  </si>
  <si>
    <t>std_shock_dl_rp_foodstar_tnd  = 0.5</t>
  </si>
  <si>
    <t>std_shock_dl_rp_enerstar_tnd  = 2.5</t>
  </si>
  <si>
    <t>ss_istar = 2</t>
  </si>
  <si>
    <t>Weight discretionary component in fiscal impulse</t>
  </si>
  <si>
    <t>Automatic stabilizer effect (relative to output gap)</t>
  </si>
  <si>
    <t>Trend persistence, AR(1)</t>
  </si>
  <si>
    <t>Shock in domestic lending rate premium</t>
  </si>
  <si>
    <t>Shock in external grants</t>
  </si>
  <si>
    <t>Shock in country interest rate premium</t>
  </si>
  <si>
    <t>Steady state growth in foreign relative food price</t>
  </si>
  <si>
    <t>Foreign real interest rate</t>
  </si>
  <si>
    <t>Share of exports G&amp;S in GDP deflator</t>
  </si>
  <si>
    <t>Share of imports G&amp;S in CPI</t>
  </si>
  <si>
    <t>tab_param below this</t>
  </si>
  <si>
    <t>RBI, IMF</t>
  </si>
  <si>
    <t>India</t>
  </si>
  <si>
    <t>EcReview 2015-16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</si>
</sst>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5FF5-F233-4AC2-840A-6D28A8836A24}">
  <dimension ref="A1:L205"/>
  <sheetViews>
    <sheetView tabSelected="1" topLeftCell="B1" workbookViewId="0">
      <selection activeCell="C5" sqref="C5:K5"/>
    </sheetView>
  </sheetViews>
  <sheetFormatPr defaultRowHeight="14.5" x14ac:dyDescent="0.35"/>
  <cols>
    <col min="1" max="1" width="45.6328125" customWidth="1"/>
    <col min="2" max="2" width="29.453125" style="2" customWidth="1"/>
    <col min="3" max="11" width="12.6328125" customWidth="1"/>
    <col min="12" max="12" width="13.6328125" customWidth="1"/>
  </cols>
  <sheetData>
    <row r="1" spans="1:12" x14ac:dyDescent="0.35">
      <c r="A1" t="s">
        <v>329</v>
      </c>
    </row>
    <row r="2" spans="1:12" x14ac:dyDescent="0.35">
      <c r="B2" s="7" t="s">
        <v>1</v>
      </c>
      <c r="E2" s="3"/>
      <c r="F2" s="3"/>
      <c r="G2" s="3"/>
      <c r="H2" s="3"/>
    </row>
    <row r="3" spans="1:12" x14ac:dyDescent="0.35">
      <c r="B3" s="7"/>
      <c r="C3" s="4" t="s">
        <v>65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311</v>
      </c>
      <c r="I3" s="4" t="s">
        <v>66</v>
      </c>
      <c r="J3" s="4" t="s">
        <v>66</v>
      </c>
    </row>
    <row r="4" spans="1:12" x14ac:dyDescent="0.35">
      <c r="B4" s="8" t="s">
        <v>308</v>
      </c>
      <c r="C4" s="6" t="s">
        <v>8</v>
      </c>
      <c r="D4" s="6" t="s">
        <v>9</v>
      </c>
      <c r="E4" s="6" t="s">
        <v>5</v>
      </c>
      <c r="F4" s="6" t="s">
        <v>6</v>
      </c>
      <c r="G4" s="6" t="s">
        <v>7</v>
      </c>
      <c r="H4" s="6" t="s">
        <v>312</v>
      </c>
      <c r="I4" s="6" t="s">
        <v>10</v>
      </c>
      <c r="J4" s="5" t="s">
        <v>309</v>
      </c>
      <c r="K4" s="5" t="s">
        <v>331</v>
      </c>
      <c r="L4" s="5"/>
    </row>
    <row r="5" spans="1:12" s="2" customFormat="1" x14ac:dyDescent="0.35">
      <c r="C5" s="9" t="s">
        <v>3</v>
      </c>
      <c r="D5" s="9" t="s">
        <v>4</v>
      </c>
      <c r="E5" s="9">
        <v>2013</v>
      </c>
      <c r="F5" s="9">
        <v>2011</v>
      </c>
      <c r="G5" s="9">
        <v>2017</v>
      </c>
      <c r="H5" s="9" t="s">
        <v>332</v>
      </c>
      <c r="I5" s="9"/>
      <c r="J5" s="9" t="s">
        <v>310</v>
      </c>
      <c r="K5" s="9" t="s">
        <v>330</v>
      </c>
      <c r="L5"/>
    </row>
    <row r="6" spans="1:12" x14ac:dyDescent="0.35">
      <c r="A6" s="1" t="s">
        <v>2</v>
      </c>
    </row>
    <row r="7" spans="1:12" x14ac:dyDescent="0.35">
      <c r="A7" t="s">
        <v>320</v>
      </c>
      <c r="B7" s="2" t="s">
        <v>21</v>
      </c>
    </row>
    <row r="8" spans="1:12" x14ac:dyDescent="0.35">
      <c r="A8" t="s">
        <v>11</v>
      </c>
      <c r="B8" s="2" t="s">
        <v>22</v>
      </c>
    </row>
    <row r="9" spans="1:12" x14ac:dyDescent="0.35">
      <c r="A9" t="s">
        <v>319</v>
      </c>
      <c r="B9" s="2" t="s">
        <v>23</v>
      </c>
    </row>
    <row r="10" spans="1:12" x14ac:dyDescent="0.35">
      <c r="A10" t="s">
        <v>12</v>
      </c>
      <c r="B10" s="2" t="s">
        <v>20</v>
      </c>
    </row>
    <row r="11" spans="1:12" x14ac:dyDescent="0.35">
      <c r="A11" t="s">
        <v>13</v>
      </c>
      <c r="B11" s="2" t="s">
        <v>24</v>
      </c>
    </row>
    <row r="12" spans="1:12" x14ac:dyDescent="0.35">
      <c r="A12" t="s">
        <v>14</v>
      </c>
      <c r="B12" s="2" t="s">
        <v>25</v>
      </c>
    </row>
    <row r="13" spans="1:12" x14ac:dyDescent="0.35">
      <c r="A13" t="s">
        <v>33</v>
      </c>
      <c r="B13" s="2" t="s">
        <v>26</v>
      </c>
    </row>
    <row r="15" spans="1:12" x14ac:dyDescent="0.35">
      <c r="A15" s="1" t="s">
        <v>34</v>
      </c>
    </row>
    <row r="16" spans="1:12" x14ac:dyDescent="0.35">
      <c r="A16" t="s">
        <v>15</v>
      </c>
      <c r="B16" s="2" t="s">
        <v>27</v>
      </c>
    </row>
    <row r="17" spans="1:2" x14ac:dyDescent="0.35">
      <c r="A17" t="s">
        <v>16</v>
      </c>
      <c r="B17" s="2" t="s">
        <v>28</v>
      </c>
    </row>
    <row r="18" spans="1:2" x14ac:dyDescent="0.35">
      <c r="A18" t="s">
        <v>71</v>
      </c>
      <c r="B18" s="2" t="s">
        <v>29</v>
      </c>
    </row>
    <row r="19" spans="1:2" x14ac:dyDescent="0.35">
      <c r="A19" t="s">
        <v>17</v>
      </c>
      <c r="B19" s="2" t="s">
        <v>30</v>
      </c>
    </row>
    <row r="20" spans="1:2" x14ac:dyDescent="0.35">
      <c r="A20" t="s">
        <v>18</v>
      </c>
      <c r="B20" s="2" t="s">
        <v>31</v>
      </c>
    </row>
    <row r="21" spans="1:2" x14ac:dyDescent="0.35">
      <c r="A21" t="s">
        <v>19</v>
      </c>
      <c r="B21" s="2" t="s">
        <v>32</v>
      </c>
    </row>
    <row r="23" spans="1:2" x14ac:dyDescent="0.35">
      <c r="A23" s="1" t="s">
        <v>35</v>
      </c>
    </row>
    <row r="24" spans="1:2" x14ac:dyDescent="0.35">
      <c r="A24" t="str">
        <f>+A16</f>
        <v>Lag, persistence (AR1)</v>
      </c>
      <c r="B24" s="2" t="s">
        <v>42</v>
      </c>
    </row>
    <row r="25" spans="1:2" x14ac:dyDescent="0.35">
      <c r="A25" t="str">
        <f>+A17</f>
        <v>Expectation (t+1)</v>
      </c>
      <c r="B25" s="2" t="s">
        <v>43</v>
      </c>
    </row>
    <row r="26" spans="1:2" x14ac:dyDescent="0.35">
      <c r="A26" t="str">
        <f>+A18</f>
        <v>Real Monetary Conditions Index (RMCI)</v>
      </c>
      <c r="B26" s="2" t="s">
        <v>44</v>
      </c>
    </row>
    <row r="27" spans="1:2" x14ac:dyDescent="0.35">
      <c r="A27" t="str">
        <f t="shared" ref="A27:A29" si="0">+A19</f>
        <v>Output gap</v>
      </c>
      <c r="B27" s="2" t="s">
        <v>45</v>
      </c>
    </row>
    <row r="28" spans="1:2" x14ac:dyDescent="0.35">
      <c r="A28" t="str">
        <f t="shared" si="0"/>
        <v>Fiscal impulse</v>
      </c>
      <c r="B28" s="2" t="s">
        <v>46</v>
      </c>
    </row>
    <row r="29" spans="1:2" x14ac:dyDescent="0.35">
      <c r="A29" t="str">
        <f t="shared" si="0"/>
        <v>Weight of RIR in RMCI</v>
      </c>
      <c r="B29" s="2" t="s">
        <v>47</v>
      </c>
    </row>
    <row r="31" spans="1:2" x14ac:dyDescent="0.35">
      <c r="A31" s="1" t="s">
        <v>36</v>
      </c>
    </row>
    <row r="32" spans="1:2" x14ac:dyDescent="0.35">
      <c r="A32" t="str">
        <f>+A16</f>
        <v>Lag, persistence (AR1)</v>
      </c>
      <c r="B32" s="2" t="s">
        <v>48</v>
      </c>
    </row>
    <row r="34" spans="1:2" x14ac:dyDescent="0.35">
      <c r="A34" s="1" t="s">
        <v>37</v>
      </c>
    </row>
    <row r="35" spans="1:2" x14ac:dyDescent="0.35">
      <c r="A35" t="str">
        <f>+A16</f>
        <v>Lag, persistence (AR1)</v>
      </c>
      <c r="B35" s="2" t="s">
        <v>50</v>
      </c>
    </row>
    <row r="36" spans="1:2" x14ac:dyDescent="0.35">
      <c r="A36" t="str">
        <f>+A17</f>
        <v>Expectation (t+1)</v>
      </c>
      <c r="B36" s="2" t="s">
        <v>51</v>
      </c>
    </row>
    <row r="37" spans="1:2" x14ac:dyDescent="0.35">
      <c r="A37" t="str">
        <f>+A18</f>
        <v>Real Monetary Conditions Index (RMCI)</v>
      </c>
      <c r="B37" s="2" t="s">
        <v>52</v>
      </c>
    </row>
    <row r="38" spans="1:2" x14ac:dyDescent="0.35">
      <c r="A38" t="s">
        <v>49</v>
      </c>
      <c r="B38" s="2" t="s">
        <v>53</v>
      </c>
    </row>
    <row r="39" spans="1:2" x14ac:dyDescent="0.35">
      <c r="A39" t="str">
        <f>+A29</f>
        <v>Weight of RIR in RMCI</v>
      </c>
      <c r="B39" s="2" t="s">
        <v>54</v>
      </c>
    </row>
    <row r="41" spans="1:2" x14ac:dyDescent="0.35">
      <c r="A41" s="1" t="s">
        <v>38</v>
      </c>
    </row>
    <row r="42" spans="1:2" x14ac:dyDescent="0.35">
      <c r="A42" t="s">
        <v>57</v>
      </c>
      <c r="B42" s="2" t="s">
        <v>61</v>
      </c>
    </row>
    <row r="43" spans="1:2" x14ac:dyDescent="0.35">
      <c r="A43" t="s">
        <v>58</v>
      </c>
      <c r="B43" s="2" t="s">
        <v>62</v>
      </c>
    </row>
    <row r="44" spans="1:2" x14ac:dyDescent="0.35">
      <c r="A44" t="s">
        <v>59</v>
      </c>
      <c r="B44" s="2" t="s">
        <v>63</v>
      </c>
    </row>
    <row r="45" spans="1:2" x14ac:dyDescent="0.35">
      <c r="A45" t="s">
        <v>60</v>
      </c>
      <c r="B45" s="2" t="s">
        <v>64</v>
      </c>
    </row>
    <row r="46" spans="1:2" x14ac:dyDescent="0.35">
      <c r="A46" t="s">
        <v>56</v>
      </c>
      <c r="B46" s="2" t="s">
        <v>55</v>
      </c>
    </row>
    <row r="47" spans="1:2" x14ac:dyDescent="0.35">
      <c r="A47" t="s">
        <v>0</v>
      </c>
      <c r="B47" s="2" t="s">
        <v>0</v>
      </c>
    </row>
    <row r="48" spans="1:2" x14ac:dyDescent="0.35">
      <c r="A48" s="1" t="s">
        <v>74</v>
      </c>
    </row>
    <row r="49" spans="1:2" x14ac:dyDescent="0.35">
      <c r="A49" t="str">
        <f>+A16</f>
        <v>Lag, persistence (AR1)</v>
      </c>
      <c r="B49" s="2" t="s">
        <v>85</v>
      </c>
    </row>
    <row r="50" spans="1:2" x14ac:dyDescent="0.35">
      <c r="A50" t="str">
        <f t="shared" ref="A50" si="1">+A17</f>
        <v>Expectation (t+1)</v>
      </c>
      <c r="B50" s="2" t="s">
        <v>86</v>
      </c>
    </row>
    <row r="51" spans="1:2" x14ac:dyDescent="0.35">
      <c r="A51" t="s">
        <v>71</v>
      </c>
      <c r="B51" s="2" t="s">
        <v>87</v>
      </c>
    </row>
    <row r="52" spans="1:2" x14ac:dyDescent="0.35">
      <c r="A52" t="s">
        <v>18</v>
      </c>
      <c r="B52" s="2" t="s">
        <v>88</v>
      </c>
    </row>
    <row r="53" spans="1:2" x14ac:dyDescent="0.35">
      <c r="A53" t="s">
        <v>72</v>
      </c>
      <c r="B53" s="2" t="s">
        <v>89</v>
      </c>
    </row>
    <row r="54" spans="1:2" x14ac:dyDescent="0.35">
      <c r="A54" t="s">
        <v>73</v>
      </c>
      <c r="B54" s="2" t="s">
        <v>90</v>
      </c>
    </row>
    <row r="56" spans="1:2" x14ac:dyDescent="0.35">
      <c r="A56" s="1" t="s">
        <v>91</v>
      </c>
    </row>
    <row r="57" spans="1:2" x14ac:dyDescent="0.35">
      <c r="A57" t="s">
        <v>80</v>
      </c>
      <c r="B57" s="2" t="s">
        <v>75</v>
      </c>
    </row>
    <row r="58" spans="1:2" x14ac:dyDescent="0.35">
      <c r="A58" t="s">
        <v>81</v>
      </c>
      <c r="B58" s="2" t="s">
        <v>76</v>
      </c>
    </row>
    <row r="59" spans="1:2" x14ac:dyDescent="0.35">
      <c r="A59" t="s">
        <v>82</v>
      </c>
      <c r="B59" s="2" t="s">
        <v>77</v>
      </c>
    </row>
    <row r="60" spans="1:2" x14ac:dyDescent="0.35">
      <c r="A60" t="s">
        <v>83</v>
      </c>
      <c r="B60" s="2" t="s">
        <v>78</v>
      </c>
    </row>
    <row r="61" spans="1:2" x14ac:dyDescent="0.35">
      <c r="A61" t="s">
        <v>84</v>
      </c>
      <c r="B61" s="2" t="s">
        <v>79</v>
      </c>
    </row>
    <row r="63" spans="1:2" x14ac:dyDescent="0.35">
      <c r="A63" s="1" t="s">
        <v>92</v>
      </c>
    </row>
    <row r="64" spans="1:2" x14ac:dyDescent="0.35">
      <c r="A64" t="str">
        <f>+A16</f>
        <v>Lag, persistence (AR1)</v>
      </c>
      <c r="B64" s="2" t="s">
        <v>110</v>
      </c>
    </row>
    <row r="65" spans="1:2" x14ac:dyDescent="0.35">
      <c r="A65" t="str">
        <f>+A17</f>
        <v>Expectation (t+1)</v>
      </c>
      <c r="B65" s="2" t="s">
        <v>99</v>
      </c>
    </row>
    <row r="66" spans="1:2" x14ac:dyDescent="0.35">
      <c r="A66" t="s">
        <v>97</v>
      </c>
      <c r="B66" s="2" t="s">
        <v>100</v>
      </c>
    </row>
    <row r="67" spans="1:2" x14ac:dyDescent="0.35">
      <c r="A67" t="s">
        <v>104</v>
      </c>
      <c r="B67" s="2" t="s">
        <v>101</v>
      </c>
    </row>
    <row r="68" spans="1:2" x14ac:dyDescent="0.35">
      <c r="A68" t="s">
        <v>98</v>
      </c>
      <c r="B68" s="2" t="s">
        <v>102</v>
      </c>
    </row>
    <row r="70" spans="1:2" x14ac:dyDescent="0.35">
      <c r="A70" s="1" t="s">
        <v>93</v>
      </c>
    </row>
    <row r="71" spans="1:2" x14ac:dyDescent="0.35">
      <c r="A71" t="str">
        <f>+A64</f>
        <v>Lag, persistence (AR1)</v>
      </c>
      <c r="B71" s="2" t="s">
        <v>109</v>
      </c>
    </row>
    <row r="72" spans="1:2" x14ac:dyDescent="0.35">
      <c r="A72" t="str">
        <f t="shared" ref="A72:A73" si="2">+A65</f>
        <v>Expectation (t+1)</v>
      </c>
      <c r="B72" s="2" t="s">
        <v>111</v>
      </c>
    </row>
    <row r="73" spans="1:2" x14ac:dyDescent="0.35">
      <c r="A73" t="str">
        <f t="shared" si="2"/>
        <v xml:space="preserve">Real marginal cost (RMC) </v>
      </c>
      <c r="B73" s="2" t="s">
        <v>108</v>
      </c>
    </row>
    <row r="74" spans="1:2" x14ac:dyDescent="0.35">
      <c r="A74" t="s">
        <v>103</v>
      </c>
      <c r="B74" s="2" t="s">
        <v>107</v>
      </c>
    </row>
    <row r="75" spans="1:2" x14ac:dyDescent="0.35">
      <c r="A75" t="s">
        <v>105</v>
      </c>
      <c r="B75" s="2" t="s">
        <v>106</v>
      </c>
    </row>
    <row r="77" spans="1:2" x14ac:dyDescent="0.35">
      <c r="A77" s="1" t="s">
        <v>94</v>
      </c>
    </row>
    <row r="78" spans="1:2" x14ac:dyDescent="0.35">
      <c r="A78" t="str">
        <f>+A64</f>
        <v>Lag, persistence (AR1)</v>
      </c>
      <c r="B78" s="2" t="s">
        <v>114</v>
      </c>
    </row>
    <row r="79" spans="1:2" x14ac:dyDescent="0.35">
      <c r="A79" t="str">
        <f>+A65</f>
        <v>Expectation (t+1)</v>
      </c>
      <c r="B79" s="2" t="s">
        <v>115</v>
      </c>
    </row>
    <row r="80" spans="1:2" x14ac:dyDescent="0.35">
      <c r="A80" t="str">
        <f>+A66</f>
        <v xml:space="preserve">Real marginal cost (RMC) </v>
      </c>
      <c r="B80" s="2" t="s">
        <v>113</v>
      </c>
    </row>
    <row r="81" spans="1:2" x14ac:dyDescent="0.35">
      <c r="A81" t="s">
        <v>116</v>
      </c>
      <c r="B81" s="2" t="s">
        <v>112</v>
      </c>
    </row>
    <row r="83" spans="1:2" x14ac:dyDescent="0.35">
      <c r="A83" s="1" t="s">
        <v>117</v>
      </c>
    </row>
    <row r="84" spans="1:2" x14ac:dyDescent="0.35">
      <c r="A84" t="s">
        <v>119</v>
      </c>
      <c r="B84" s="2" t="s">
        <v>121</v>
      </c>
    </row>
    <row r="85" spans="1:2" x14ac:dyDescent="0.35">
      <c r="A85" t="s">
        <v>118</v>
      </c>
      <c r="B85" s="2" t="s">
        <v>122</v>
      </c>
    </row>
    <row r="86" spans="1:2" x14ac:dyDescent="0.35">
      <c r="A86" t="s">
        <v>120</v>
      </c>
      <c r="B86" s="2" t="s">
        <v>123</v>
      </c>
    </row>
    <row r="88" spans="1:2" x14ac:dyDescent="0.35">
      <c r="A88" s="1" t="s">
        <v>96</v>
      </c>
    </row>
    <row r="89" spans="1:2" x14ac:dyDescent="0.35">
      <c r="A89" t="str">
        <f>+A16</f>
        <v>Lag, persistence (AR1)</v>
      </c>
      <c r="B89" s="2" t="s">
        <v>126</v>
      </c>
    </row>
    <row r="90" spans="1:2" x14ac:dyDescent="0.35">
      <c r="A90" t="s">
        <v>125</v>
      </c>
      <c r="B90" s="2" t="s">
        <v>127</v>
      </c>
    </row>
    <row r="91" spans="1:2" x14ac:dyDescent="0.35">
      <c r="A91" t="s">
        <v>17</v>
      </c>
      <c r="B91" s="2" t="s">
        <v>128</v>
      </c>
    </row>
    <row r="92" spans="1:2" x14ac:dyDescent="0.35">
      <c r="A92" t="s">
        <v>124</v>
      </c>
      <c r="B92" s="2" t="s">
        <v>129</v>
      </c>
    </row>
    <row r="93" spans="1:2" x14ac:dyDescent="0.35">
      <c r="A93" t="s">
        <v>132</v>
      </c>
      <c r="B93" s="2" t="s">
        <v>130</v>
      </c>
    </row>
    <row r="94" spans="1:2" x14ac:dyDescent="0.35">
      <c r="A94" t="s">
        <v>131</v>
      </c>
      <c r="B94" s="2" t="s">
        <v>133</v>
      </c>
    </row>
    <row r="96" spans="1:2" x14ac:dyDescent="0.35">
      <c r="A96" s="1" t="s">
        <v>95</v>
      </c>
    </row>
    <row r="97" spans="1:2" x14ac:dyDescent="0.35">
      <c r="A97" t="s">
        <v>134</v>
      </c>
      <c r="B97" s="2" t="s">
        <v>135</v>
      </c>
    </row>
    <row r="98" spans="1:2" x14ac:dyDescent="0.35">
      <c r="A98" t="s">
        <v>136</v>
      </c>
      <c r="B98" s="2" t="s">
        <v>137</v>
      </c>
    </row>
    <row r="99" spans="1:2" x14ac:dyDescent="0.35">
      <c r="A99" t="s">
        <v>138</v>
      </c>
      <c r="B99" s="2" t="s">
        <v>139</v>
      </c>
    </row>
    <row r="100" spans="1:2" x14ac:dyDescent="0.35">
      <c r="A100" t="s">
        <v>140</v>
      </c>
      <c r="B100" s="2" t="s">
        <v>141</v>
      </c>
    </row>
    <row r="101" spans="1:2" x14ac:dyDescent="0.35">
      <c r="A101" t="s">
        <v>142</v>
      </c>
      <c r="B101" s="2" t="s">
        <v>143</v>
      </c>
    </row>
    <row r="102" spans="1:2" x14ac:dyDescent="0.35">
      <c r="A102" t="s">
        <v>144</v>
      </c>
      <c r="B102" s="2" t="s">
        <v>145</v>
      </c>
    </row>
    <row r="104" spans="1:2" x14ac:dyDescent="0.35">
      <c r="A104" s="1" t="s">
        <v>146</v>
      </c>
    </row>
    <row r="105" spans="1:2" x14ac:dyDescent="0.35">
      <c r="A105" t="str">
        <f>+A16</f>
        <v>Lag, persistence (AR1)</v>
      </c>
      <c r="B105" s="2" t="s">
        <v>151</v>
      </c>
    </row>
    <row r="106" spans="1:2" x14ac:dyDescent="0.35">
      <c r="A106" t="s">
        <v>147</v>
      </c>
      <c r="B106" s="2" t="s">
        <v>150</v>
      </c>
    </row>
    <row r="107" spans="1:2" x14ac:dyDescent="0.35">
      <c r="A107" t="s">
        <v>148</v>
      </c>
      <c r="B107" s="2" t="s">
        <v>149</v>
      </c>
    </row>
    <row r="109" spans="1:2" x14ac:dyDescent="0.35">
      <c r="A109" s="1" t="s">
        <v>321</v>
      </c>
    </row>
    <row r="110" spans="1:2" x14ac:dyDescent="0.35">
      <c r="A110" t="s">
        <v>105</v>
      </c>
      <c r="B110" s="2" t="s">
        <v>159</v>
      </c>
    </row>
    <row r="111" spans="1:2" x14ac:dyDescent="0.35">
      <c r="A111" t="s">
        <v>152</v>
      </c>
      <c r="B111" s="2" t="s">
        <v>160</v>
      </c>
    </row>
    <row r="112" spans="1:2" x14ac:dyDescent="0.35">
      <c r="A112" t="s">
        <v>153</v>
      </c>
      <c r="B112" s="2" t="s">
        <v>161</v>
      </c>
    </row>
    <row r="113" spans="1:2" x14ac:dyDescent="0.35">
      <c r="A113" t="s">
        <v>154</v>
      </c>
      <c r="B113" s="2" t="s">
        <v>162</v>
      </c>
    </row>
    <row r="114" spans="1:2" x14ac:dyDescent="0.35">
      <c r="A114" t="s">
        <v>155</v>
      </c>
      <c r="B114" s="2" t="s">
        <v>163</v>
      </c>
    </row>
    <row r="115" spans="1:2" x14ac:dyDescent="0.35">
      <c r="A115" t="s">
        <v>156</v>
      </c>
      <c r="B115" s="2" t="s">
        <v>164</v>
      </c>
    </row>
    <row r="116" spans="1:2" x14ac:dyDescent="0.35">
      <c r="A116" t="s">
        <v>157</v>
      </c>
      <c r="B116" s="2" t="s">
        <v>165</v>
      </c>
    </row>
    <row r="117" spans="1:2" x14ac:dyDescent="0.35">
      <c r="A117" t="s">
        <v>158</v>
      </c>
      <c r="B117" s="2" t="s">
        <v>166</v>
      </c>
    </row>
    <row r="118" spans="1:2" x14ac:dyDescent="0.35">
      <c r="A118" t="s">
        <v>178</v>
      </c>
      <c r="B118" s="2" t="s">
        <v>167</v>
      </c>
    </row>
    <row r="119" spans="1:2" x14ac:dyDescent="0.35">
      <c r="A119" t="s">
        <v>177</v>
      </c>
      <c r="B119" s="2" t="s">
        <v>168</v>
      </c>
    </row>
    <row r="121" spans="1:2" x14ac:dyDescent="0.35">
      <c r="A121" s="1" t="s">
        <v>39</v>
      </c>
    </row>
    <row r="122" spans="1:2" x14ac:dyDescent="0.35">
      <c r="A122" t="s">
        <v>170</v>
      </c>
      <c r="B122" s="2" t="s">
        <v>169</v>
      </c>
    </row>
    <row r="123" spans="1:2" x14ac:dyDescent="0.35">
      <c r="A123" t="s">
        <v>171</v>
      </c>
      <c r="B123" s="2" t="s">
        <v>187</v>
      </c>
    </row>
    <row r="124" spans="1:2" x14ac:dyDescent="0.35">
      <c r="A124" t="s">
        <v>293</v>
      </c>
      <c r="B124" s="2" t="s">
        <v>172</v>
      </c>
    </row>
    <row r="125" spans="1:2" x14ac:dyDescent="0.35">
      <c r="A125" t="s">
        <v>173</v>
      </c>
      <c r="B125" s="2" t="s">
        <v>188</v>
      </c>
    </row>
    <row r="126" spans="1:2" x14ac:dyDescent="0.35">
      <c r="A126" t="s">
        <v>174</v>
      </c>
      <c r="B126" s="2" t="s">
        <v>180</v>
      </c>
    </row>
    <row r="127" spans="1:2" x14ac:dyDescent="0.35">
      <c r="A127" t="s">
        <v>175</v>
      </c>
      <c r="B127" s="2" t="s">
        <v>314</v>
      </c>
    </row>
    <row r="128" spans="1:2" x14ac:dyDescent="0.35">
      <c r="A128" t="s">
        <v>176</v>
      </c>
      <c r="B128" s="2" t="s">
        <v>313</v>
      </c>
    </row>
    <row r="129" spans="1:2" x14ac:dyDescent="0.35">
      <c r="A129" t="s">
        <v>179</v>
      </c>
      <c r="B129" s="2" t="s">
        <v>186</v>
      </c>
    </row>
    <row r="130" spans="1:2" x14ac:dyDescent="0.35">
      <c r="A130" t="s">
        <v>181</v>
      </c>
      <c r="B130" s="2" t="s">
        <v>185</v>
      </c>
    </row>
    <row r="131" spans="1:2" x14ac:dyDescent="0.35">
      <c r="A131" t="s">
        <v>182</v>
      </c>
      <c r="B131" s="2" t="s">
        <v>184</v>
      </c>
    </row>
    <row r="132" spans="1:2" x14ac:dyDescent="0.35">
      <c r="A132" t="s">
        <v>192</v>
      </c>
      <c r="B132" s="2" t="s">
        <v>183</v>
      </c>
    </row>
    <row r="133" spans="1:2" x14ac:dyDescent="0.35">
      <c r="A133" t="s">
        <v>193</v>
      </c>
      <c r="B133" s="2" t="s">
        <v>189</v>
      </c>
    </row>
    <row r="134" spans="1:2" x14ac:dyDescent="0.35">
      <c r="A134" t="s">
        <v>194</v>
      </c>
      <c r="B134" s="2" t="s">
        <v>190</v>
      </c>
    </row>
    <row r="135" spans="1:2" x14ac:dyDescent="0.35">
      <c r="A135" t="s">
        <v>191</v>
      </c>
      <c r="B135" s="2" t="s">
        <v>315</v>
      </c>
    </row>
    <row r="137" spans="1:2" x14ac:dyDescent="0.35">
      <c r="A137" s="1" t="s">
        <v>40</v>
      </c>
    </row>
    <row r="138" spans="1:2" x14ac:dyDescent="0.35">
      <c r="A138" t="s">
        <v>195</v>
      </c>
      <c r="B138" s="2" t="s">
        <v>208</v>
      </c>
    </row>
    <row r="139" spans="1:2" x14ac:dyDescent="0.35">
      <c r="A139" t="s">
        <v>196</v>
      </c>
      <c r="B139" s="2" t="s">
        <v>209</v>
      </c>
    </row>
    <row r="140" spans="1:2" x14ac:dyDescent="0.35">
      <c r="A140" t="s">
        <v>197</v>
      </c>
      <c r="B140" s="2" t="s">
        <v>210</v>
      </c>
    </row>
    <row r="141" spans="1:2" x14ac:dyDescent="0.35">
      <c r="A141" t="s">
        <v>198</v>
      </c>
      <c r="B141" s="2" t="s">
        <v>211</v>
      </c>
    </row>
    <row r="142" spans="1:2" x14ac:dyDescent="0.35">
      <c r="A142" t="s">
        <v>199</v>
      </c>
      <c r="B142" s="2" t="s">
        <v>212</v>
      </c>
    </row>
    <row r="143" spans="1:2" x14ac:dyDescent="0.35">
      <c r="A143" t="s">
        <v>200</v>
      </c>
      <c r="B143" s="2" t="s">
        <v>213</v>
      </c>
    </row>
    <row r="144" spans="1:2" x14ac:dyDescent="0.35">
      <c r="A144" t="s">
        <v>203</v>
      </c>
      <c r="B144" s="2" t="s">
        <v>219</v>
      </c>
    </row>
    <row r="145" spans="1:2" x14ac:dyDescent="0.35">
      <c r="A145" t="s">
        <v>201</v>
      </c>
      <c r="B145" s="2" t="s">
        <v>220</v>
      </c>
    </row>
    <row r="146" spans="1:2" x14ac:dyDescent="0.35">
      <c r="A146" t="s">
        <v>202</v>
      </c>
      <c r="B146" s="2" t="s">
        <v>214</v>
      </c>
    </row>
    <row r="147" spans="1:2" x14ac:dyDescent="0.35">
      <c r="A147" t="s">
        <v>204</v>
      </c>
      <c r="B147" s="2" t="s">
        <v>218</v>
      </c>
    </row>
    <row r="148" spans="1:2" x14ac:dyDescent="0.35">
      <c r="A148" t="s">
        <v>322</v>
      </c>
      <c r="B148" s="2" t="s">
        <v>221</v>
      </c>
    </row>
    <row r="149" spans="1:2" x14ac:dyDescent="0.35">
      <c r="A149" t="s">
        <v>205</v>
      </c>
      <c r="B149" s="2" t="s">
        <v>215</v>
      </c>
    </row>
    <row r="150" spans="1:2" x14ac:dyDescent="0.35">
      <c r="A150" t="s">
        <v>206</v>
      </c>
      <c r="B150" s="2" t="s">
        <v>216</v>
      </c>
    </row>
    <row r="151" spans="1:2" x14ac:dyDescent="0.35">
      <c r="A151" t="s">
        <v>207</v>
      </c>
      <c r="B151" s="2" t="s">
        <v>217</v>
      </c>
    </row>
    <row r="153" spans="1:2" x14ac:dyDescent="0.35">
      <c r="A153" s="1" t="s">
        <v>222</v>
      </c>
    </row>
    <row r="154" spans="1:2" x14ac:dyDescent="0.35">
      <c r="A154" t="s">
        <v>223</v>
      </c>
      <c r="B154" s="2" t="s">
        <v>226</v>
      </c>
    </row>
    <row r="155" spans="1:2" x14ac:dyDescent="0.35">
      <c r="A155" t="s">
        <v>225</v>
      </c>
      <c r="B155" s="2" t="s">
        <v>227</v>
      </c>
    </row>
    <row r="156" spans="1:2" x14ac:dyDescent="0.35">
      <c r="A156" t="s">
        <v>224</v>
      </c>
      <c r="B156" s="2" t="s">
        <v>228</v>
      </c>
    </row>
    <row r="157" spans="1:2" x14ac:dyDescent="0.35">
      <c r="A157" t="s">
        <v>229</v>
      </c>
      <c r="B157" s="2" t="s">
        <v>240</v>
      </c>
    </row>
    <row r="158" spans="1:2" x14ac:dyDescent="0.35">
      <c r="A158" t="s">
        <v>323</v>
      </c>
      <c r="B158" s="2" t="s">
        <v>241</v>
      </c>
    </row>
    <row r="159" spans="1:2" x14ac:dyDescent="0.35">
      <c r="A159" t="s">
        <v>230</v>
      </c>
      <c r="B159" s="2" t="s">
        <v>242</v>
      </c>
    </row>
    <row r="160" spans="1:2" x14ac:dyDescent="0.35">
      <c r="A160" t="s">
        <v>231</v>
      </c>
      <c r="B160" s="2" t="s">
        <v>243</v>
      </c>
    </row>
    <row r="161" spans="1:2" x14ac:dyDescent="0.35">
      <c r="A161" t="s">
        <v>232</v>
      </c>
      <c r="B161" s="2" t="s">
        <v>244</v>
      </c>
    </row>
    <row r="162" spans="1:2" x14ac:dyDescent="0.35">
      <c r="A162" t="s">
        <v>233</v>
      </c>
      <c r="B162" s="2" t="s">
        <v>245</v>
      </c>
    </row>
    <row r="163" spans="1:2" x14ac:dyDescent="0.35">
      <c r="A163" t="s">
        <v>234</v>
      </c>
      <c r="B163" s="2" t="s">
        <v>246</v>
      </c>
    </row>
    <row r="164" spans="1:2" x14ac:dyDescent="0.35">
      <c r="A164" t="s">
        <v>235</v>
      </c>
      <c r="B164" s="2" t="s">
        <v>247</v>
      </c>
    </row>
    <row r="165" spans="1:2" x14ac:dyDescent="0.35">
      <c r="A165" t="s">
        <v>236</v>
      </c>
      <c r="B165" s="2" t="s">
        <v>248</v>
      </c>
    </row>
    <row r="166" spans="1:2" x14ac:dyDescent="0.35">
      <c r="A166" t="s">
        <v>237</v>
      </c>
      <c r="B166" s="2" t="s">
        <v>249</v>
      </c>
    </row>
    <row r="167" spans="1:2" x14ac:dyDescent="0.35">
      <c r="A167" t="s">
        <v>238</v>
      </c>
      <c r="B167" s="2" t="s">
        <v>250</v>
      </c>
    </row>
    <row r="168" spans="1:2" x14ac:dyDescent="0.35">
      <c r="A168" t="s">
        <v>239</v>
      </c>
      <c r="B168" s="2" t="s">
        <v>251</v>
      </c>
    </row>
    <row r="169" spans="1:2" x14ac:dyDescent="0.35">
      <c r="A169" t="s">
        <v>324</v>
      </c>
      <c r="B169" s="2" t="s">
        <v>252</v>
      </c>
    </row>
    <row r="171" spans="1:2" x14ac:dyDescent="0.35">
      <c r="A171" s="1" t="s">
        <v>275</v>
      </c>
    </row>
    <row r="172" spans="1:2" x14ac:dyDescent="0.35">
      <c r="A172" t="s">
        <v>271</v>
      </c>
      <c r="B172" s="2" t="s">
        <v>265</v>
      </c>
    </row>
    <row r="173" spans="1:2" x14ac:dyDescent="0.35">
      <c r="A173" t="s">
        <v>325</v>
      </c>
      <c r="B173" s="2" t="s">
        <v>253</v>
      </c>
    </row>
    <row r="174" spans="1:2" x14ac:dyDescent="0.35">
      <c r="A174" t="s">
        <v>272</v>
      </c>
      <c r="B174" s="2" t="s">
        <v>254</v>
      </c>
    </row>
    <row r="175" spans="1:2" x14ac:dyDescent="0.35">
      <c r="A175" t="s">
        <v>274</v>
      </c>
      <c r="B175" s="2" t="s">
        <v>318</v>
      </c>
    </row>
    <row r="176" spans="1:2" x14ac:dyDescent="0.35">
      <c r="A176" t="s">
        <v>273</v>
      </c>
      <c r="B176" s="2" t="s">
        <v>266</v>
      </c>
    </row>
    <row r="177" spans="1:2" x14ac:dyDescent="0.35">
      <c r="A177" s="1" t="s">
        <v>276</v>
      </c>
    </row>
    <row r="178" spans="1:2" x14ac:dyDescent="0.35">
      <c r="A178" t="s">
        <v>278</v>
      </c>
      <c r="B178" s="2" t="s">
        <v>267</v>
      </c>
    </row>
    <row r="179" spans="1:2" x14ac:dyDescent="0.35">
      <c r="A179" t="s">
        <v>279</v>
      </c>
      <c r="B179" s="2" t="s">
        <v>268</v>
      </c>
    </row>
    <row r="180" spans="1:2" x14ac:dyDescent="0.35">
      <c r="A180" t="s">
        <v>280</v>
      </c>
      <c r="B180" s="2" t="s">
        <v>269</v>
      </c>
    </row>
    <row r="181" spans="1:2" x14ac:dyDescent="0.35">
      <c r="A181" t="s">
        <v>326</v>
      </c>
      <c r="B181" s="2" t="s">
        <v>270</v>
      </c>
    </row>
    <row r="182" spans="1:2" x14ac:dyDescent="0.35">
      <c r="A182" t="s">
        <v>281</v>
      </c>
      <c r="B182" s="2" t="s">
        <v>255</v>
      </c>
    </row>
    <row r="183" spans="1:2" x14ac:dyDescent="0.35">
      <c r="A183" t="s">
        <v>282</v>
      </c>
      <c r="B183" s="2" t="s">
        <v>256</v>
      </c>
    </row>
    <row r="184" spans="1:2" x14ac:dyDescent="0.35">
      <c r="A184" t="s">
        <v>283</v>
      </c>
      <c r="B184" s="2" t="s">
        <v>257</v>
      </c>
    </row>
    <row r="185" spans="1:2" x14ac:dyDescent="0.35">
      <c r="A185" t="s">
        <v>284</v>
      </c>
      <c r="B185" s="2" t="s">
        <v>258</v>
      </c>
    </row>
    <row r="186" spans="1:2" x14ac:dyDescent="0.35">
      <c r="A186" s="1" t="s">
        <v>277</v>
      </c>
    </row>
    <row r="187" spans="1:2" x14ac:dyDescent="0.35">
      <c r="A187" t="s">
        <v>285</v>
      </c>
      <c r="B187" s="2" t="s">
        <v>259</v>
      </c>
    </row>
    <row r="188" spans="1:2" x14ac:dyDescent="0.35">
      <c r="A188" t="s">
        <v>286</v>
      </c>
      <c r="B188" s="2" t="s">
        <v>260</v>
      </c>
    </row>
    <row r="189" spans="1:2" x14ac:dyDescent="0.35">
      <c r="A189" t="s">
        <v>288</v>
      </c>
      <c r="B189" s="2" t="s">
        <v>261</v>
      </c>
    </row>
    <row r="190" spans="1:2" x14ac:dyDescent="0.35">
      <c r="A190" t="s">
        <v>287</v>
      </c>
      <c r="B190" s="2" t="s">
        <v>262</v>
      </c>
    </row>
    <row r="191" spans="1:2" x14ac:dyDescent="0.35">
      <c r="A191" t="s">
        <v>289</v>
      </c>
      <c r="B191" s="2" t="s">
        <v>263</v>
      </c>
    </row>
    <row r="192" spans="1:2" x14ac:dyDescent="0.35">
      <c r="A192" t="s">
        <v>290</v>
      </c>
      <c r="B192" s="2" t="s">
        <v>264</v>
      </c>
    </row>
    <row r="193" spans="1:2" x14ac:dyDescent="0.35">
      <c r="A193" t="s">
        <v>291</v>
      </c>
      <c r="B193" s="2" t="s">
        <v>316</v>
      </c>
    </row>
    <row r="194" spans="1:2" x14ac:dyDescent="0.35">
      <c r="A194" t="s">
        <v>292</v>
      </c>
      <c r="B194" s="2" t="s">
        <v>317</v>
      </c>
    </row>
    <row r="196" spans="1:2" x14ac:dyDescent="0.35">
      <c r="A196" s="1" t="s">
        <v>41</v>
      </c>
    </row>
    <row r="197" spans="1:2" x14ac:dyDescent="0.35">
      <c r="A197" t="s">
        <v>327</v>
      </c>
      <c r="B197" s="2" t="s">
        <v>295</v>
      </c>
    </row>
    <row r="198" spans="1:2" x14ac:dyDescent="0.35">
      <c r="A198" t="s">
        <v>328</v>
      </c>
      <c r="B198" s="2" t="s">
        <v>296</v>
      </c>
    </row>
    <row r="199" spans="1:2" x14ac:dyDescent="0.35">
      <c r="A199" t="s">
        <v>294</v>
      </c>
      <c r="B199" s="2" t="s">
        <v>297</v>
      </c>
    </row>
    <row r="200" spans="1:2" x14ac:dyDescent="0.35">
      <c r="A200" t="s">
        <v>298</v>
      </c>
      <c r="B200" s="2" t="s">
        <v>300</v>
      </c>
    </row>
    <row r="201" spans="1:2" x14ac:dyDescent="0.35">
      <c r="A201" t="s">
        <v>299</v>
      </c>
      <c r="B201" s="2" t="s">
        <v>301</v>
      </c>
    </row>
    <row r="203" spans="1:2" x14ac:dyDescent="0.35">
      <c r="A203" t="s">
        <v>302</v>
      </c>
      <c r="B203" s="2" t="s">
        <v>303</v>
      </c>
    </row>
    <row r="204" spans="1:2" x14ac:dyDescent="0.35">
      <c r="A204" t="s">
        <v>304</v>
      </c>
      <c r="B204" s="2" t="s">
        <v>305</v>
      </c>
    </row>
    <row r="205" spans="1:2" x14ac:dyDescent="0.35">
      <c r="A205" t="s">
        <v>306</v>
      </c>
      <c r="B205" s="2" t="s">
        <v>307</v>
      </c>
    </row>
  </sheetData>
  <pageMargins left="0.2" right="0.2" top="0.25" bottom="0.25" header="0.3" footer="0.3"/>
  <pageSetup scale="70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tab_param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cp:lastPrinted>2022-04-22T07:44:05Z</cp:lastPrinted>
  <dcterms:created xsi:type="dcterms:W3CDTF">2022-04-17T19:02:59Z</dcterms:created>
  <dcterms:modified xsi:type="dcterms:W3CDTF">2022-04-22T07:48:23Z</dcterms:modified>
</cp:coreProperties>
</file>