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Intern\Dropbox\PC\Documents\INFLATION\RURA_Pump price\"/>
    </mc:Choice>
  </mc:AlternateContent>
  <xr:revisionPtr revIDLastSave="0" documentId="13_ncr:1_{183D6AC8-806B-4B3E-8680-CF9757DAB4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ump price_FRW" sheetId="1" r:id="rId1"/>
    <sheet name="Q-on-Q chan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" l="1"/>
  <c r="J6" i="2"/>
  <c r="I4" i="2"/>
  <c r="M5" i="2"/>
  <c r="M6" i="2"/>
  <c r="M4" i="2"/>
  <c r="L5" i="2"/>
  <c r="L6" i="2"/>
  <c r="L4" i="2"/>
  <c r="K5" i="2"/>
  <c r="K4" i="2"/>
  <c r="J5" i="2"/>
  <c r="J4" i="2"/>
  <c r="I5" i="2"/>
  <c r="I6" i="2"/>
  <c r="C6" i="2"/>
  <c r="C5" i="2"/>
  <c r="C4" i="2"/>
  <c r="H5" i="2"/>
  <c r="H4" i="2"/>
  <c r="H6" i="2" s="1"/>
  <c r="G5" i="2"/>
  <c r="G4" i="2"/>
  <c r="G6" i="2" s="1"/>
  <c r="F5" i="2"/>
  <c r="F4" i="2"/>
  <c r="F6" i="2" s="1"/>
  <c r="E5" i="2"/>
  <c r="E4" i="2"/>
  <c r="E6" i="2" s="1"/>
  <c r="D5" i="2"/>
  <c r="D4" i="2"/>
  <c r="D6" i="2" s="1"/>
</calcChain>
</file>

<file path=xl/sharedStrings.xml><?xml version="1.0" encoding="utf-8"?>
<sst xmlns="http://schemas.openxmlformats.org/spreadsheetml/2006/main" count="28" uniqueCount="17">
  <si>
    <t>CPI (2014, Weights)</t>
  </si>
  <si>
    <t>Diesel (AGO)</t>
  </si>
  <si>
    <t>Gasoline (PMS)</t>
  </si>
  <si>
    <t xml:space="preserve">Fuel and lubricants </t>
  </si>
  <si>
    <t>Q3 2023</t>
  </si>
  <si>
    <t>Q4 2023</t>
  </si>
  <si>
    <t>Q1 2024</t>
  </si>
  <si>
    <t>Q2 2023</t>
  </si>
  <si>
    <t>Q1 2023</t>
  </si>
  <si>
    <t>Diesel</t>
  </si>
  <si>
    <t xml:space="preserve">Gasoline </t>
  </si>
  <si>
    <t>Fuel</t>
  </si>
  <si>
    <t>Quarter on Quarter Change (%)</t>
  </si>
  <si>
    <t>Q4 2022</t>
  </si>
  <si>
    <t>FRW/Litre</t>
  </si>
  <si>
    <t>Transport</t>
  </si>
  <si>
    <t>Headline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</si>
</sst>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4" fillId="0" borderId="0" xfId="0" applyNumberFormat="1" applyFont="1"/>
    <xf numFmtId="0" fontId="4" fillId="0" borderId="0" xfId="0" applyFont="1"/>
    <xf numFmtId="17" fontId="0" fillId="3" borderId="0" xfId="0" applyNumberFormat="1" applyFill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0" borderId="0" xfId="0" applyNumberFormat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165" fontId="3" fillId="0" borderId="0" xfId="1" applyNumberFormat="1" applyFont="1"/>
    <xf numFmtId="1" fontId="0" fillId="0" borderId="0" xfId="0" applyNumberFormat="1" applyFont="1"/>
    <xf numFmtId="0" fontId="0" fillId="0" borderId="0" xfId="0" applyFont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5" fontId="4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8"/>
  <sheetViews>
    <sheetView topLeftCell="CY1" workbookViewId="0">
      <selection activeCell="DD7" sqref="DD7"/>
    </sheetView>
  </sheetViews>
  <sheetFormatPr defaultRowHeight="14.5" x14ac:dyDescent="0.35"/>
  <cols>
    <col min="1" max="1" width="17.1796875" bestFit="1" customWidth="1"/>
    <col min="2" max="2" width="16.90625" customWidth="1"/>
  </cols>
  <sheetData>
    <row r="1" spans="1:121" ht="15" thickBot="1" x14ac:dyDescent="0.4"/>
    <row r="2" spans="1:121" ht="15" thickBot="1" x14ac:dyDescent="0.4">
      <c r="CZ2" s="14" t="s">
        <v>13</v>
      </c>
      <c r="DA2" s="15"/>
      <c r="DB2" s="16"/>
      <c r="DC2" s="5" t="s">
        <v>8</v>
      </c>
      <c r="DD2" s="6"/>
      <c r="DE2" s="7"/>
      <c r="DF2" s="5" t="s">
        <v>7</v>
      </c>
      <c r="DG2" s="6"/>
      <c r="DH2" s="7"/>
      <c r="DI2" s="5" t="s">
        <v>4</v>
      </c>
      <c r="DJ2" s="6"/>
      <c r="DK2" s="7"/>
      <c r="DL2" s="5" t="s">
        <v>5</v>
      </c>
      <c r="DM2" s="6"/>
      <c r="DN2" s="7"/>
      <c r="DO2" s="5" t="s">
        <v>6</v>
      </c>
      <c r="DP2" s="6"/>
      <c r="DQ2" s="7"/>
    </row>
    <row r="3" spans="1:121" x14ac:dyDescent="0.35">
      <c r="B3" t="s">
        <v>0</v>
      </c>
      <c r="C3" s="4">
        <v>41760</v>
      </c>
      <c r="D3" s="4">
        <v>41791</v>
      </c>
      <c r="E3" s="4">
        <v>41821</v>
      </c>
      <c r="F3" s="4">
        <v>41852</v>
      </c>
      <c r="G3" s="4">
        <v>41883</v>
      </c>
      <c r="H3" s="4">
        <v>41913</v>
      </c>
      <c r="I3" s="4">
        <v>41944</v>
      </c>
      <c r="J3" s="4">
        <v>41974</v>
      </c>
      <c r="K3" s="4">
        <v>42005</v>
      </c>
      <c r="L3" s="4">
        <v>42036</v>
      </c>
      <c r="M3" s="4">
        <v>42064</v>
      </c>
      <c r="N3" s="4">
        <v>42095</v>
      </c>
      <c r="O3" s="4">
        <v>42125</v>
      </c>
      <c r="P3" s="4">
        <v>42156</v>
      </c>
      <c r="Q3" s="4">
        <v>42186</v>
      </c>
      <c r="R3" s="4">
        <v>42217</v>
      </c>
      <c r="S3" s="4">
        <v>42248</v>
      </c>
      <c r="T3" s="4">
        <v>42278</v>
      </c>
      <c r="U3" s="4">
        <v>42309</v>
      </c>
      <c r="V3" s="4">
        <v>42339</v>
      </c>
      <c r="W3" s="4">
        <v>42370</v>
      </c>
      <c r="X3" s="4">
        <v>42401</v>
      </c>
      <c r="Y3" s="4">
        <v>42430</v>
      </c>
      <c r="Z3" s="4">
        <v>42461</v>
      </c>
      <c r="AA3" s="4">
        <v>42491</v>
      </c>
      <c r="AB3" s="4">
        <v>42522</v>
      </c>
      <c r="AC3" s="4">
        <v>42552</v>
      </c>
      <c r="AD3" s="4">
        <v>42583</v>
      </c>
      <c r="AE3" s="4">
        <v>42614</v>
      </c>
      <c r="AF3" s="4">
        <v>42644</v>
      </c>
      <c r="AG3" s="4">
        <v>42675</v>
      </c>
      <c r="AH3" s="4">
        <v>42705</v>
      </c>
      <c r="AI3" s="4">
        <v>42736</v>
      </c>
      <c r="AJ3" s="4">
        <v>42767</v>
      </c>
      <c r="AK3" s="4">
        <v>42795</v>
      </c>
      <c r="AL3" s="4">
        <v>42826</v>
      </c>
      <c r="AM3" s="4">
        <v>42856</v>
      </c>
      <c r="AN3" s="4">
        <v>42887</v>
      </c>
      <c r="AO3" s="4">
        <v>42917</v>
      </c>
      <c r="AP3" s="4">
        <v>42948</v>
      </c>
      <c r="AQ3" s="4">
        <v>42979</v>
      </c>
      <c r="AR3" s="4">
        <v>43009</v>
      </c>
      <c r="AS3" s="4">
        <v>43040</v>
      </c>
      <c r="AT3" s="4">
        <v>43070</v>
      </c>
      <c r="AU3" s="4">
        <v>43101</v>
      </c>
      <c r="AV3" s="4">
        <v>43132</v>
      </c>
      <c r="AW3" s="4">
        <v>43160</v>
      </c>
      <c r="AX3" s="4">
        <v>43191</v>
      </c>
      <c r="AY3" s="4">
        <v>43221</v>
      </c>
      <c r="AZ3" s="4">
        <v>43252</v>
      </c>
      <c r="BA3" s="4">
        <v>43282</v>
      </c>
      <c r="BB3" s="4">
        <v>43313</v>
      </c>
      <c r="BC3" s="4">
        <v>43344</v>
      </c>
      <c r="BD3" s="4">
        <v>43374</v>
      </c>
      <c r="BE3" s="4">
        <v>43405</v>
      </c>
      <c r="BF3" s="4">
        <v>43435</v>
      </c>
      <c r="BG3" s="4">
        <v>43466</v>
      </c>
      <c r="BH3" s="4">
        <v>43497</v>
      </c>
      <c r="BI3" s="4">
        <v>43525</v>
      </c>
      <c r="BJ3" s="4">
        <v>43556</v>
      </c>
      <c r="BK3" s="4">
        <v>43586</v>
      </c>
      <c r="BL3" s="4">
        <v>43617</v>
      </c>
      <c r="BM3" s="4">
        <v>43647</v>
      </c>
      <c r="BN3" s="4">
        <v>43678</v>
      </c>
      <c r="BO3" s="4">
        <v>43709</v>
      </c>
      <c r="BP3" s="4">
        <v>43739</v>
      </c>
      <c r="BQ3" s="4">
        <v>43770</v>
      </c>
      <c r="BR3" s="4">
        <v>43800</v>
      </c>
      <c r="BS3" s="4">
        <v>43831</v>
      </c>
      <c r="BT3" s="4">
        <v>43862</v>
      </c>
      <c r="BU3" s="4">
        <v>43891</v>
      </c>
      <c r="BV3" s="4">
        <v>43922</v>
      </c>
      <c r="BW3" s="4">
        <v>43952</v>
      </c>
      <c r="BX3" s="4">
        <v>43983</v>
      </c>
      <c r="BY3" s="4">
        <v>44013</v>
      </c>
      <c r="BZ3" s="4">
        <v>44044</v>
      </c>
      <c r="CA3" s="4">
        <v>44075</v>
      </c>
      <c r="CB3" s="4">
        <v>44105</v>
      </c>
      <c r="CC3" s="4">
        <v>44136</v>
      </c>
      <c r="CD3" s="4">
        <v>44166</v>
      </c>
      <c r="CE3" s="4">
        <v>44197</v>
      </c>
      <c r="CF3" s="4">
        <v>44228</v>
      </c>
      <c r="CG3" s="4">
        <v>44256</v>
      </c>
      <c r="CH3" s="4">
        <v>44287</v>
      </c>
      <c r="CI3" s="4">
        <v>44317</v>
      </c>
      <c r="CJ3" s="4">
        <v>44348</v>
      </c>
      <c r="CK3" s="4">
        <v>44378</v>
      </c>
      <c r="CL3" s="4">
        <v>44409</v>
      </c>
      <c r="CM3" s="4">
        <v>44440</v>
      </c>
      <c r="CN3" s="4">
        <v>44470</v>
      </c>
      <c r="CO3" s="4">
        <v>44501</v>
      </c>
      <c r="CP3" s="4">
        <v>44531</v>
      </c>
      <c r="CQ3" s="4">
        <v>44562</v>
      </c>
      <c r="CR3" s="4">
        <v>44593</v>
      </c>
      <c r="CS3" s="4">
        <v>44621</v>
      </c>
      <c r="CT3" s="4">
        <v>44652</v>
      </c>
      <c r="CU3" s="4">
        <v>44682</v>
      </c>
      <c r="CV3" s="4">
        <v>44713</v>
      </c>
      <c r="CW3" s="4">
        <v>44743</v>
      </c>
      <c r="CX3" s="4">
        <v>44774</v>
      </c>
      <c r="CY3" s="4">
        <v>44805</v>
      </c>
      <c r="CZ3" s="4">
        <v>44835</v>
      </c>
      <c r="DA3" s="4">
        <v>44866</v>
      </c>
      <c r="DB3" s="4">
        <v>44896</v>
      </c>
      <c r="DC3" s="4">
        <v>44927</v>
      </c>
      <c r="DD3" s="4">
        <v>44958</v>
      </c>
      <c r="DE3" s="4">
        <v>44986</v>
      </c>
      <c r="DF3" s="4">
        <v>45017</v>
      </c>
      <c r="DG3" s="4">
        <v>45047</v>
      </c>
      <c r="DH3" s="4">
        <v>45078</v>
      </c>
      <c r="DI3" s="4">
        <v>45108</v>
      </c>
      <c r="DJ3" s="4">
        <v>45139</v>
      </c>
      <c r="DK3" s="4">
        <v>45170</v>
      </c>
      <c r="DL3" s="4">
        <v>45200</v>
      </c>
      <c r="DM3" s="4">
        <v>45231</v>
      </c>
      <c r="DN3" s="4">
        <v>45261</v>
      </c>
      <c r="DO3" s="4">
        <v>45292</v>
      </c>
      <c r="DP3" s="4">
        <v>45323</v>
      </c>
      <c r="DQ3" s="4">
        <v>45352</v>
      </c>
    </row>
    <row r="4" spans="1:121" x14ac:dyDescent="0.35">
      <c r="A4" t="s">
        <v>1</v>
      </c>
      <c r="B4" s="2">
        <v>0.5118581956531415</v>
      </c>
      <c r="C4">
        <v>1010</v>
      </c>
      <c r="D4">
        <v>1010</v>
      </c>
      <c r="E4">
        <v>1010</v>
      </c>
      <c r="F4">
        <v>1010</v>
      </c>
      <c r="G4">
        <v>1010</v>
      </c>
      <c r="H4">
        <v>1010</v>
      </c>
      <c r="I4">
        <v>960</v>
      </c>
      <c r="J4">
        <v>960</v>
      </c>
      <c r="K4">
        <v>895</v>
      </c>
      <c r="L4">
        <v>845</v>
      </c>
      <c r="M4">
        <v>810</v>
      </c>
      <c r="N4">
        <v>810</v>
      </c>
      <c r="O4">
        <v>840</v>
      </c>
      <c r="P4">
        <v>840</v>
      </c>
      <c r="Q4">
        <v>935</v>
      </c>
      <c r="R4">
        <v>935</v>
      </c>
      <c r="S4">
        <v>920</v>
      </c>
      <c r="T4">
        <v>888</v>
      </c>
      <c r="U4">
        <v>888</v>
      </c>
      <c r="V4">
        <v>874</v>
      </c>
      <c r="W4">
        <v>874</v>
      </c>
      <c r="X4">
        <v>826</v>
      </c>
      <c r="Y4">
        <v>826</v>
      </c>
      <c r="Z4">
        <v>826</v>
      </c>
      <c r="AA4">
        <v>860</v>
      </c>
      <c r="AB4">
        <v>860</v>
      </c>
      <c r="AC4">
        <v>948</v>
      </c>
      <c r="AD4">
        <v>948</v>
      </c>
      <c r="AE4">
        <v>864</v>
      </c>
      <c r="AF4">
        <v>864</v>
      </c>
      <c r="AG4">
        <v>914</v>
      </c>
      <c r="AH4">
        <v>914</v>
      </c>
      <c r="AI4">
        <v>932</v>
      </c>
      <c r="AJ4">
        <v>932</v>
      </c>
      <c r="AK4">
        <v>958</v>
      </c>
      <c r="AL4">
        <v>958</v>
      </c>
      <c r="AM4">
        <v>950</v>
      </c>
      <c r="AN4">
        <v>950</v>
      </c>
      <c r="AO4">
        <v>935</v>
      </c>
      <c r="AP4">
        <v>935</v>
      </c>
      <c r="AQ4">
        <v>954</v>
      </c>
      <c r="AR4">
        <v>994</v>
      </c>
      <c r="AS4">
        <v>994</v>
      </c>
      <c r="AT4">
        <v>994</v>
      </c>
      <c r="AU4">
        <v>1005</v>
      </c>
      <c r="AV4">
        <v>1005</v>
      </c>
      <c r="AW4">
        <v>1037</v>
      </c>
      <c r="AX4">
        <v>1037</v>
      </c>
      <c r="AY4">
        <v>1048</v>
      </c>
      <c r="AZ4">
        <v>1048</v>
      </c>
      <c r="BA4">
        <v>1093</v>
      </c>
      <c r="BB4">
        <v>1093</v>
      </c>
      <c r="BC4">
        <v>1093</v>
      </c>
      <c r="BD4">
        <v>1093</v>
      </c>
      <c r="BE4">
        <v>1148</v>
      </c>
      <c r="BF4">
        <v>1148</v>
      </c>
      <c r="BG4">
        <v>1039</v>
      </c>
      <c r="BH4">
        <v>1039</v>
      </c>
      <c r="BI4">
        <v>1039</v>
      </c>
      <c r="BJ4">
        <v>1039</v>
      </c>
      <c r="BK4">
        <v>1091</v>
      </c>
      <c r="BL4">
        <v>1091</v>
      </c>
      <c r="BM4">
        <v>1072</v>
      </c>
      <c r="BN4">
        <v>1072</v>
      </c>
      <c r="BO4">
        <v>1067</v>
      </c>
      <c r="BP4">
        <v>1067</v>
      </c>
      <c r="BQ4">
        <v>1073</v>
      </c>
      <c r="BR4">
        <v>1073</v>
      </c>
      <c r="BS4">
        <v>1084</v>
      </c>
      <c r="BT4">
        <v>1084</v>
      </c>
      <c r="BU4">
        <v>1073</v>
      </c>
      <c r="BV4">
        <v>1073</v>
      </c>
      <c r="BW4">
        <v>925</v>
      </c>
      <c r="BX4">
        <v>925</v>
      </c>
      <c r="BY4">
        <v>883</v>
      </c>
      <c r="BZ4">
        <v>883</v>
      </c>
      <c r="CA4">
        <v>943</v>
      </c>
      <c r="CB4">
        <v>943</v>
      </c>
      <c r="CC4">
        <v>923</v>
      </c>
      <c r="CD4">
        <v>923</v>
      </c>
      <c r="CE4">
        <v>962</v>
      </c>
      <c r="CF4">
        <v>962</v>
      </c>
      <c r="CG4">
        <v>1054</v>
      </c>
      <c r="CH4">
        <v>1054</v>
      </c>
      <c r="CI4">
        <v>1054</v>
      </c>
      <c r="CJ4">
        <v>1054</v>
      </c>
      <c r="CK4">
        <v>1054</v>
      </c>
      <c r="CL4">
        <v>1054</v>
      </c>
      <c r="CM4">
        <v>1054</v>
      </c>
      <c r="CN4">
        <v>1054</v>
      </c>
      <c r="CO4">
        <v>1054</v>
      </c>
      <c r="CP4">
        <v>1054</v>
      </c>
      <c r="CQ4">
        <v>1140</v>
      </c>
      <c r="CR4">
        <v>1140</v>
      </c>
      <c r="CS4">
        <v>1201</v>
      </c>
      <c r="CT4">
        <v>1368</v>
      </c>
      <c r="CU4">
        <v>1368</v>
      </c>
      <c r="CV4">
        <v>1503</v>
      </c>
      <c r="CW4">
        <v>1503</v>
      </c>
      <c r="CX4">
        <v>1607</v>
      </c>
      <c r="CY4">
        <v>1607</v>
      </c>
      <c r="CZ4">
        <v>1587</v>
      </c>
      <c r="DA4">
        <v>1587</v>
      </c>
      <c r="DB4">
        <v>1587</v>
      </c>
      <c r="DC4">
        <v>1587</v>
      </c>
      <c r="DD4">
        <v>1562</v>
      </c>
      <c r="DE4">
        <v>1562</v>
      </c>
      <c r="DF4">
        <v>1518</v>
      </c>
      <c r="DG4">
        <v>1518</v>
      </c>
      <c r="DH4">
        <v>1492</v>
      </c>
      <c r="DI4">
        <v>1492</v>
      </c>
      <c r="DJ4">
        <v>1492</v>
      </c>
      <c r="DK4">
        <v>1492</v>
      </c>
      <c r="DL4">
        <v>1662</v>
      </c>
      <c r="DM4">
        <v>1662</v>
      </c>
      <c r="DN4">
        <v>1635</v>
      </c>
      <c r="DO4">
        <v>1635</v>
      </c>
      <c r="DP4">
        <v>1635</v>
      </c>
      <c r="DQ4">
        <v>1635</v>
      </c>
    </row>
    <row r="5" spans="1:121" x14ac:dyDescent="0.35">
      <c r="A5" t="s">
        <v>2</v>
      </c>
      <c r="B5" s="2">
        <v>1.1774994818810423</v>
      </c>
      <c r="C5">
        <v>1010</v>
      </c>
      <c r="D5">
        <v>1010</v>
      </c>
      <c r="E5">
        <v>1010</v>
      </c>
      <c r="F5">
        <v>1010</v>
      </c>
      <c r="G5">
        <v>1010</v>
      </c>
      <c r="H5">
        <v>1010</v>
      </c>
      <c r="I5">
        <v>960</v>
      </c>
      <c r="J5">
        <v>960</v>
      </c>
      <c r="K5">
        <v>895</v>
      </c>
      <c r="L5">
        <v>845</v>
      </c>
      <c r="M5">
        <v>810</v>
      </c>
      <c r="N5">
        <v>810</v>
      </c>
      <c r="O5">
        <v>840</v>
      </c>
      <c r="P5">
        <v>840</v>
      </c>
      <c r="Q5">
        <v>935</v>
      </c>
      <c r="R5">
        <v>935</v>
      </c>
      <c r="S5">
        <v>920</v>
      </c>
      <c r="T5">
        <v>888</v>
      </c>
      <c r="U5">
        <v>888</v>
      </c>
      <c r="V5">
        <v>874</v>
      </c>
      <c r="W5">
        <v>874</v>
      </c>
      <c r="X5">
        <v>826</v>
      </c>
      <c r="Y5">
        <v>826</v>
      </c>
      <c r="Z5">
        <v>826</v>
      </c>
      <c r="AA5">
        <v>860</v>
      </c>
      <c r="AB5">
        <v>860</v>
      </c>
      <c r="AC5">
        <v>948</v>
      </c>
      <c r="AD5">
        <v>948</v>
      </c>
      <c r="AE5">
        <v>888</v>
      </c>
      <c r="AF5">
        <v>888</v>
      </c>
      <c r="AG5">
        <v>948</v>
      </c>
      <c r="AH5">
        <v>948</v>
      </c>
      <c r="AI5">
        <v>970</v>
      </c>
      <c r="AJ5">
        <v>970</v>
      </c>
      <c r="AK5">
        <v>1022</v>
      </c>
      <c r="AL5">
        <v>1022</v>
      </c>
      <c r="AM5">
        <v>1002</v>
      </c>
      <c r="AN5">
        <v>1002</v>
      </c>
      <c r="AO5">
        <v>969</v>
      </c>
      <c r="AP5">
        <v>969</v>
      </c>
      <c r="AQ5">
        <v>993</v>
      </c>
      <c r="AR5">
        <v>993</v>
      </c>
      <c r="AS5">
        <v>1031</v>
      </c>
      <c r="AT5">
        <v>1031</v>
      </c>
      <c r="AU5">
        <v>1042</v>
      </c>
      <c r="AV5">
        <v>1042</v>
      </c>
      <c r="AW5">
        <v>1055</v>
      </c>
      <c r="AX5">
        <v>1055</v>
      </c>
      <c r="AY5">
        <v>1065</v>
      </c>
      <c r="AZ5">
        <v>1065</v>
      </c>
      <c r="BA5">
        <v>1109</v>
      </c>
      <c r="BB5">
        <v>1109</v>
      </c>
      <c r="BC5">
        <v>1109</v>
      </c>
      <c r="BD5">
        <v>1109</v>
      </c>
      <c r="BE5">
        <v>1132</v>
      </c>
      <c r="BF5">
        <v>1132</v>
      </c>
      <c r="BG5">
        <v>1013</v>
      </c>
      <c r="BH5">
        <v>1013</v>
      </c>
      <c r="BI5">
        <v>1013</v>
      </c>
      <c r="BJ5">
        <v>1013</v>
      </c>
      <c r="BK5">
        <v>1096</v>
      </c>
      <c r="BL5">
        <v>1096</v>
      </c>
      <c r="BM5">
        <v>1080</v>
      </c>
      <c r="BN5">
        <v>1080</v>
      </c>
      <c r="BO5">
        <v>1065</v>
      </c>
      <c r="BP5">
        <v>1065</v>
      </c>
      <c r="BQ5">
        <v>1070</v>
      </c>
      <c r="BR5">
        <v>1070</v>
      </c>
      <c r="BS5">
        <v>1091</v>
      </c>
      <c r="BT5">
        <v>1091</v>
      </c>
      <c r="BU5">
        <v>1088</v>
      </c>
      <c r="BV5">
        <v>1088</v>
      </c>
      <c r="BW5">
        <v>965</v>
      </c>
      <c r="BX5">
        <v>965</v>
      </c>
      <c r="BY5">
        <v>908</v>
      </c>
      <c r="BZ5">
        <v>908</v>
      </c>
      <c r="CA5">
        <v>966</v>
      </c>
      <c r="CB5">
        <v>966</v>
      </c>
      <c r="CC5">
        <v>976</v>
      </c>
      <c r="CD5">
        <v>976</v>
      </c>
      <c r="CE5">
        <v>987</v>
      </c>
      <c r="CF5">
        <v>987</v>
      </c>
      <c r="CG5">
        <v>1088</v>
      </c>
      <c r="CH5">
        <v>1088</v>
      </c>
      <c r="CI5">
        <v>1088</v>
      </c>
      <c r="CJ5">
        <v>1088</v>
      </c>
      <c r="CK5">
        <v>1088</v>
      </c>
      <c r="CL5">
        <v>1088</v>
      </c>
      <c r="CM5">
        <v>1088</v>
      </c>
      <c r="CN5">
        <v>1143</v>
      </c>
      <c r="CO5">
        <v>1143</v>
      </c>
      <c r="CP5">
        <v>1143</v>
      </c>
      <c r="CQ5">
        <v>1225</v>
      </c>
      <c r="CR5">
        <v>1225</v>
      </c>
      <c r="CS5">
        <v>1256</v>
      </c>
      <c r="CT5">
        <v>1359</v>
      </c>
      <c r="CU5">
        <v>1359</v>
      </c>
      <c r="CV5">
        <v>1460</v>
      </c>
      <c r="CW5">
        <v>1460</v>
      </c>
      <c r="CX5">
        <v>1609</v>
      </c>
      <c r="CY5">
        <v>1609</v>
      </c>
      <c r="CZ5">
        <v>1580</v>
      </c>
      <c r="DA5">
        <v>1580</v>
      </c>
      <c r="DB5">
        <v>1580</v>
      </c>
      <c r="DC5">
        <v>1580</v>
      </c>
      <c r="DD5">
        <v>1544</v>
      </c>
      <c r="DE5">
        <v>1544</v>
      </c>
      <c r="DF5">
        <v>1528</v>
      </c>
      <c r="DG5">
        <v>1528</v>
      </c>
      <c r="DH5">
        <v>1517</v>
      </c>
      <c r="DI5">
        <v>1517</v>
      </c>
      <c r="DJ5">
        <v>1639</v>
      </c>
      <c r="DK5">
        <v>1639</v>
      </c>
      <c r="DL5">
        <v>1822</v>
      </c>
      <c r="DM5">
        <v>1822</v>
      </c>
      <c r="DN5">
        <v>1639</v>
      </c>
      <c r="DO5">
        <v>1639</v>
      </c>
      <c r="DP5">
        <v>1639</v>
      </c>
      <c r="DQ5">
        <v>1639</v>
      </c>
    </row>
    <row r="6" spans="1:121" x14ac:dyDescent="0.35">
      <c r="A6" t="s">
        <v>3</v>
      </c>
      <c r="B6" s="3">
        <v>1.7</v>
      </c>
    </row>
    <row r="7" spans="1:121" x14ac:dyDescent="0.35">
      <c r="A7" t="s">
        <v>15</v>
      </c>
      <c r="B7" s="2">
        <v>12.4517028457553</v>
      </c>
    </row>
    <row r="8" spans="1:121" x14ac:dyDescent="0.35">
      <c r="A8" t="s">
        <v>16</v>
      </c>
      <c r="B8" s="2">
        <v>100</v>
      </c>
    </row>
  </sheetData>
  <mergeCells count="6">
    <mergeCell ref="DO2:DQ2"/>
    <mergeCell ref="DL2:DN2"/>
    <mergeCell ref="DI2:DK2"/>
    <mergeCell ref="DF2:DH2"/>
    <mergeCell ref="DC2:DE2"/>
    <mergeCell ref="CZ2:D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5A52-9DBD-4460-A359-F42ED3265F38}">
  <dimension ref="B2:M6"/>
  <sheetViews>
    <sheetView tabSelected="1" workbookViewId="0">
      <selection activeCell="J16" sqref="J16"/>
    </sheetView>
  </sheetViews>
  <sheetFormatPr defaultRowHeight="14.5" x14ac:dyDescent="0.35"/>
  <sheetData>
    <row r="2" spans="2:13" x14ac:dyDescent="0.35">
      <c r="C2" s="10" t="s">
        <v>14</v>
      </c>
      <c r="D2" s="10"/>
      <c r="E2" s="10"/>
      <c r="F2" s="10"/>
      <c r="G2" s="10"/>
      <c r="H2" s="10"/>
      <c r="I2" s="9" t="s">
        <v>12</v>
      </c>
      <c r="J2" s="9"/>
      <c r="K2" s="9"/>
      <c r="L2" s="9"/>
      <c r="M2" s="9"/>
    </row>
    <row r="3" spans="2:13" x14ac:dyDescent="0.35">
      <c r="C3" s="1" t="s">
        <v>13</v>
      </c>
      <c r="D3" s="1" t="s">
        <v>8</v>
      </c>
      <c r="E3" s="1" t="s">
        <v>7</v>
      </c>
      <c r="F3" s="1" t="s">
        <v>4</v>
      </c>
      <c r="G3" s="1" t="s">
        <v>5</v>
      </c>
      <c r="H3" s="1" t="s">
        <v>6</v>
      </c>
      <c r="I3" s="1" t="s">
        <v>8</v>
      </c>
      <c r="J3" s="1" t="s">
        <v>7</v>
      </c>
      <c r="K3" s="1" t="s">
        <v>4</v>
      </c>
      <c r="L3" s="1" t="s">
        <v>5</v>
      </c>
      <c r="M3" s="1" t="s">
        <v>6</v>
      </c>
    </row>
    <row r="4" spans="2:13" x14ac:dyDescent="0.35">
      <c r="B4" t="s">
        <v>9</v>
      </c>
      <c r="C4">
        <f>AVERAGE('Pump price_FRW'!CZ4:DB4)</f>
        <v>1587</v>
      </c>
      <c r="D4" s="8">
        <f>AVERAGE('Pump price_FRW'!DC4:DE4)</f>
        <v>1570.3333333333333</v>
      </c>
      <c r="E4" s="8">
        <f>AVERAGE('Pump price_FRW'!DF4:DH4)</f>
        <v>1509.3333333333333</v>
      </c>
      <c r="F4" s="8">
        <f>AVERAGE('Pump price_FRW'!DI4:DK4)</f>
        <v>1492</v>
      </c>
      <c r="G4" s="8">
        <f>AVERAGE('Pump price_FRW'!DL4:DN4)</f>
        <v>1653</v>
      </c>
      <c r="H4" s="8">
        <f>AVERAGE('Pump price_FRW'!DO4:DQ4)</f>
        <v>1635</v>
      </c>
      <c r="I4" s="11">
        <f>D4/C4-1</f>
        <v>-1.0501995379122109E-2</v>
      </c>
      <c r="J4" s="11">
        <f>E4/D4-1</f>
        <v>-3.8845255784334509E-2</v>
      </c>
      <c r="K4" s="11">
        <f>F4/E4-1</f>
        <v>-1.1484098939929299E-2</v>
      </c>
      <c r="L4" s="11">
        <f>G4/F4-1</f>
        <v>0.1079088471849865</v>
      </c>
      <c r="M4" s="11">
        <f>H4/G4-1</f>
        <v>-1.0889292196007205E-2</v>
      </c>
    </row>
    <row r="5" spans="2:13" x14ac:dyDescent="0.35">
      <c r="B5" t="s">
        <v>10</v>
      </c>
      <c r="C5">
        <f>AVERAGE('Pump price_FRW'!CZ5:DB5)</f>
        <v>1580</v>
      </c>
      <c r="D5" s="8">
        <f>AVERAGE('Pump price_FRW'!DC5:DE5)</f>
        <v>1556</v>
      </c>
      <c r="E5" s="8">
        <f>AVERAGE('Pump price_FRW'!DF5:DH5)</f>
        <v>1524.3333333333333</v>
      </c>
      <c r="F5" s="8">
        <f>AVERAGE('Pump price_FRW'!DI5:DK5)</f>
        <v>1598.3333333333333</v>
      </c>
      <c r="G5" s="8">
        <f>AVERAGE('Pump price_FRW'!DL5:DN5)</f>
        <v>1761</v>
      </c>
      <c r="H5" s="8">
        <f>AVERAGE('Pump price_FRW'!DO5:DQ5)</f>
        <v>1639</v>
      </c>
      <c r="I5" s="11">
        <f t="shared" ref="I5:I6" si="0">D5/C5-1</f>
        <v>-1.5189873417721489E-2</v>
      </c>
      <c r="J5" s="11">
        <f t="shared" ref="J5:J6" si="1">E5/D5-1</f>
        <v>-2.0351328191945184E-2</v>
      </c>
      <c r="K5" s="11">
        <f t="shared" ref="K5:K6" si="2">F5/E5-1</f>
        <v>4.8545812376995512E-2</v>
      </c>
      <c r="L5" s="11">
        <f t="shared" ref="L5:L6" si="3">G5/F5-1</f>
        <v>0.10177267987486971</v>
      </c>
      <c r="M5" s="11">
        <f t="shared" ref="M5:M6" si="4">H5/G5-1</f>
        <v>-6.9278818852924529E-2</v>
      </c>
    </row>
    <row r="6" spans="2:13" x14ac:dyDescent="0.35">
      <c r="B6" s="13" t="s">
        <v>11</v>
      </c>
      <c r="C6" s="12">
        <f>AVERAGE(C4:C5)</f>
        <v>1583.5</v>
      </c>
      <c r="D6" s="12">
        <f>AVERAGE(D4:D5)</f>
        <v>1563.1666666666665</v>
      </c>
      <c r="E6" s="12">
        <f t="shared" ref="E6:H6" si="5">AVERAGE(E4:E5)</f>
        <v>1516.8333333333333</v>
      </c>
      <c r="F6" s="12">
        <f t="shared" si="5"/>
        <v>1545.1666666666665</v>
      </c>
      <c r="G6" s="12">
        <f t="shared" si="5"/>
        <v>1707</v>
      </c>
      <c r="H6" s="12">
        <f t="shared" si="5"/>
        <v>1637</v>
      </c>
      <c r="I6" s="11">
        <f t="shared" si="0"/>
        <v>-1.2840753604883792E-2</v>
      </c>
      <c r="J6" s="11">
        <f>E6/D6-1</f>
        <v>-2.9640686640366676E-2</v>
      </c>
      <c r="K6" s="11">
        <f>F6/E6-1</f>
        <v>1.8679266014723694E-2</v>
      </c>
      <c r="L6" s="17">
        <f t="shared" si="3"/>
        <v>0.10473519577176149</v>
      </c>
      <c r="M6" s="17">
        <f t="shared" si="4"/>
        <v>-4.1007615700058619E-2</v>
      </c>
    </row>
  </sheetData>
  <mergeCells count="2">
    <mergeCell ref="I2:M2"/>
    <mergeCell ref="C2:H2"/>
  </mergeCells>
  <phoneticPr fontId="5" type="noConversion"/>
  <pageMargins left="0.7" right="0.7" top="0.75" bottom="0.75" header="0.3" footer="0.3"/>
  <ignoredErrors>
    <ignoredError sqref="D4:D5 E4:E5 F4:F5 G4:G5 H4:H5 C4:C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Pump price_FRW</vt:lpstr>
      <vt:lpstr>Q-on-Q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Eric MUTABAZI</cp:lastModifiedBy>
  <dcterms:created xsi:type="dcterms:W3CDTF">2015-06-05T18:17:20Z</dcterms:created>
  <dcterms:modified xsi:type="dcterms:W3CDTF">2023-12-13T16:46:58Z</dcterms:modified>
</cp:coreProperties>
</file>