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ECOFIN_FILE\QMFM\QMFM_DRAFT OF EXTERNAL PART-WK Paper\QMFM_DRAFT OF EXTERNAL PART-WK Paper\"/>
    </mc:Choice>
  </mc:AlternateContent>
  <xr:revisionPtr revIDLastSave="0" documentId="13_ncr:1_{6820705A-00A1-44C1-A0EA-B519EDFF122D}" xr6:coauthVersionLast="47" xr6:coauthVersionMax="47" xr10:uidLastSave="{00000000-0000-0000-0000-000000000000}"/>
  <bookViews>
    <workbookView xWindow="28690" yWindow="-110" windowWidth="29020" windowHeight="15700" xr2:uid="{A48B15BB-1C92-4646-987A-D14CFD570701}"/>
  </bookViews>
  <sheets>
    <sheet name="Foreign Indicators" sheetId="1" r:id="rId1"/>
    <sheet name="INFLATION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6" i="1" l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D9" i="1" l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C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C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C7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D5" i="1"/>
  <c r="C5" i="1"/>
</calcChain>
</file>

<file path=xl/sharedStrings.xml><?xml version="1.0" encoding="utf-8"?>
<sst xmlns="http://schemas.openxmlformats.org/spreadsheetml/2006/main" count="81" uniqueCount="47">
  <si>
    <t>Foreign Real GDP Growth</t>
  </si>
  <si>
    <t>foreign Interest rate</t>
  </si>
  <si>
    <t>Foreign indicators in QMFM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</si>
  <si>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</si>
  <si>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</si>
  <si>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</si>
  <si>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</si>
  <si>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</si>
  <si>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</si>
  <si>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</si>
  <si>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</si>
  <si>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</si>
  <si>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</si>
  <si>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</si>
  <si>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</si>
  <si>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</si>
  <si>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</si>
  <si>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</si>
  <si>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</si>
  <si>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</si>
  <si>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</si>
  <si>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</si>
  <si>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</si>
  <si>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</si>
  <si>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</si>
  <si>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</si>
  <si>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</si>
  <si>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</si>
  <si>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</si>
  <si>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</si>
  <si>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</si>
  <si>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</si>
  <si>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</si>
  <si>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</si>
  <si>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</si>
  <si>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CPI Of advanced economy trading parterns in USD(Imports prices growth)</t>
  </si>
  <si>
    <t>CPI</t>
  </si>
  <si>
    <t>Energy index(LH)</t>
  </si>
  <si>
    <t>Food index(LH)</t>
  </si>
  <si>
    <t>Foreign index(RH)</t>
  </si>
  <si>
    <t>Food index</t>
  </si>
  <si>
    <t>core index</t>
  </si>
  <si>
    <t xml:space="preserve">Energy index </t>
  </si>
  <si>
    <t>Y-O-Y Change</t>
  </si>
  <si>
    <t xml:space="preserve">Food </t>
  </si>
  <si>
    <t xml:space="preserve">Energy </t>
  </si>
  <si>
    <t xml:space="preserve">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</si>
</sst>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name val="Times New Roman"/>
      <family val="1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3" fillId="0" borderId="0" xfId="2" applyFont="1" applyAlignment="1">
      <alignment horizontal="right"/>
    </xf>
    <xf numFmtId="165" fontId="4" fillId="0" borderId="0" xfId="0" applyNumberFormat="1" applyFont="1"/>
    <xf numFmtId="0" fontId="5" fillId="0" borderId="0" xfId="0" applyFont="1"/>
    <xf numFmtId="164" fontId="0" fillId="0" borderId="0" xfId="0" applyNumberFormat="1"/>
  </cellXfs>
  <cellStyles count="3">
    <cellStyle name="Normal" xfId="0" builtinId="0"/>
    <cellStyle name="Normal 2 3 2" xfId="2" xr:uid="{BBFB43D4-3222-4BA0-8680-763B36725823}"/>
    <cellStyle name="Percent" xfId="1" builtinId="5"/>
  </cellStyles>
  <dxfs count="0"/>
  <tableStyles count="0" defaultTableStyle="TableStyleMedium2" defaultPivotStyle="PivotStyleLight16"/>
  <colors>
    <mruColors>
      <color rgb="FF12D9EE"/>
      <color rgb="FF11E34D"/>
      <color rgb="FF16DE20"/>
      <color rgb="FF3333CC"/>
      <color rgb="FF800080"/>
      <color rgb="FFFF9966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'Foreign Indicators'!$B$5</c:f>
              <c:strCache>
                <c:ptCount val="1"/>
                <c:pt idx="0">
                  <c:v>Foreign Real GDP Growth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'Foreign Indicators'!$D$4:$AH$4</c:f>
              <c:strCache>
                <c:ptCount val="31"/>
                <c:pt idx="0">
                  <c:v>2017Q2</c:v>
                </c:pt>
                <c:pt idx="1">
                  <c:v>2017Q3</c:v>
                </c:pt>
                <c:pt idx="2">
                  <c:v>2017Q4</c:v>
                </c:pt>
                <c:pt idx="3">
                  <c:v>2018Q1</c:v>
                </c:pt>
                <c:pt idx="4">
                  <c:v>2018Q2</c:v>
                </c:pt>
                <c:pt idx="5">
                  <c:v>2018Q3</c:v>
                </c:pt>
                <c:pt idx="6">
                  <c:v>2018Q4</c:v>
                </c:pt>
                <c:pt idx="7">
                  <c:v>2019Q1</c:v>
                </c:pt>
                <c:pt idx="8">
                  <c:v>2019Q2</c:v>
                </c:pt>
                <c:pt idx="9">
                  <c:v>2019Q3</c:v>
                </c:pt>
                <c:pt idx="10">
                  <c:v>2019Q4</c:v>
                </c:pt>
                <c:pt idx="11">
                  <c:v>2020Q1</c:v>
                </c:pt>
                <c:pt idx="12">
                  <c:v>2020Q2</c:v>
                </c:pt>
                <c:pt idx="13">
                  <c:v>2020Q3</c:v>
                </c:pt>
                <c:pt idx="14">
                  <c:v>2020Q4</c:v>
                </c:pt>
                <c:pt idx="15">
                  <c:v>2021Q1</c:v>
                </c:pt>
                <c:pt idx="16">
                  <c:v>2021Q2</c:v>
                </c:pt>
                <c:pt idx="17">
                  <c:v>2021Q3</c:v>
                </c:pt>
                <c:pt idx="18">
                  <c:v>2021Q4</c:v>
                </c:pt>
                <c:pt idx="19">
                  <c:v>2022Q1</c:v>
                </c:pt>
                <c:pt idx="20">
                  <c:v>2022Q2</c:v>
                </c:pt>
                <c:pt idx="21">
                  <c:v>2022Q3</c:v>
                </c:pt>
                <c:pt idx="22">
                  <c:v>2022Q4</c:v>
                </c:pt>
                <c:pt idx="23">
                  <c:v>2023Q1</c:v>
                </c:pt>
                <c:pt idx="24">
                  <c:v>2023Q2</c:v>
                </c:pt>
                <c:pt idx="25">
                  <c:v>2023Q3</c:v>
                </c:pt>
                <c:pt idx="26">
                  <c:v>2023Q4</c:v>
                </c:pt>
                <c:pt idx="27">
                  <c:v>2024Q1</c:v>
                </c:pt>
                <c:pt idx="28">
                  <c:v>2024Q2</c:v>
                </c:pt>
                <c:pt idx="29">
                  <c:v>2024Q3</c:v>
                </c:pt>
                <c:pt idx="30">
                  <c:v>2024Q4</c:v>
                </c:pt>
              </c:strCache>
            </c:strRef>
          </c:cat>
          <c:val>
            <c:numRef>
              <c:f>'Foreign Indicators'!$D$5:$AH$5</c:f>
              <c:numCache>
                <c:formatCode>0.0%</c:formatCode>
                <c:ptCount val="31"/>
                <c:pt idx="0">
                  <c:v>2.7195147283300837E-2</c:v>
                </c:pt>
                <c:pt idx="1">
                  <c:v>2.861298004181758E-2</c:v>
                </c:pt>
                <c:pt idx="2">
                  <c:v>3.0032769828399287E-2</c:v>
                </c:pt>
                <c:pt idx="3">
                  <c:v>3.4890199781705156E-2</c:v>
                </c:pt>
                <c:pt idx="4">
                  <c:v>3.403282964572249E-2</c:v>
                </c:pt>
                <c:pt idx="5">
                  <c:v>3.3176169810746142E-2</c:v>
                </c:pt>
                <c:pt idx="6">
                  <c:v>3.2320219688316068E-2</c:v>
                </c:pt>
                <c:pt idx="7">
                  <c:v>4.881331181204749E-2</c:v>
                </c:pt>
                <c:pt idx="8">
                  <c:v>3.6382172384986596E-2</c:v>
                </c:pt>
                <c:pt idx="9">
                  <c:v>2.4098373982028617E-2</c:v>
                </c:pt>
                <c:pt idx="10">
                  <c:v>1.1960170232495878E-2</c:v>
                </c:pt>
                <c:pt idx="11">
                  <c:v>-4.3724710643719751E-2</c:v>
                </c:pt>
                <c:pt idx="12">
                  <c:v>-2.6455378640311132E-2</c:v>
                </c:pt>
                <c:pt idx="13">
                  <c:v>-8.8741805548620475E-3</c:v>
                </c:pt>
                <c:pt idx="14">
                  <c:v>9.0245155880347219E-3</c:v>
                </c:pt>
                <c:pt idx="15">
                  <c:v>5.2650777588698808E-2</c:v>
                </c:pt>
                <c:pt idx="16">
                  <c:v>5.4315640264562391E-2</c:v>
                </c:pt>
                <c:pt idx="17">
                  <c:v>5.5983136071744349E-2</c:v>
                </c:pt>
                <c:pt idx="18">
                  <c:v>5.7653269174779788E-2</c:v>
                </c:pt>
                <c:pt idx="19">
                  <c:v>6.9327492466056864E-2</c:v>
                </c:pt>
                <c:pt idx="20">
                  <c:v>6.4420163779318459E-2</c:v>
                </c:pt>
                <c:pt idx="21">
                  <c:v>5.9535355672111635E-2</c:v>
                </c:pt>
                <c:pt idx="22">
                  <c:v>5.4672964793605082E-2</c:v>
                </c:pt>
                <c:pt idx="23">
                  <c:v>4.0718403304020025E-2</c:v>
                </c:pt>
                <c:pt idx="24">
                  <c:v>4.1858812356417925E-2</c:v>
                </c:pt>
                <c:pt idx="25">
                  <c:v>4.3000471057907413E-2</c:v>
                </c:pt>
                <c:pt idx="26">
                  <c:v>4.4143380777841246E-2</c:v>
                </c:pt>
                <c:pt idx="27">
                  <c:v>4.5808778368921638E-2</c:v>
                </c:pt>
                <c:pt idx="28">
                  <c:v>4.6590532322949588E-2</c:v>
                </c:pt>
                <c:pt idx="29">
                  <c:v>4.7372870646947375E-2</c:v>
                </c:pt>
                <c:pt idx="30">
                  <c:v>4.8155793777738619E-2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03-4EC4-A0F1-F88A80604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820431"/>
        <c:axId val="1259841071"/>
      </c:lineChart>
      <c:catAx>
        <c:axId val="12598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41071"/>
        <c:crosses val="autoZero"/>
        <c:auto val="1"/>
        <c:lblAlgn val="ctr"/>
        <c:lblOffset val="100"/>
        <c:noMultiLvlLbl val="0"/>
      </c:catAx>
      <c:valAx>
        <c:axId val="12598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2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'Foreign Indicators'!$B$6</c:f>
              <c:strCache>
                <c:ptCount val="1"/>
                <c:pt idx="0">
                  <c:v>foreign Interest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'Foreign Indicators'!$D$4:$AH$4</c:f>
              <c:strCache>
                <c:ptCount val="31"/>
                <c:pt idx="0">
                  <c:v>2017Q2</c:v>
                </c:pt>
                <c:pt idx="1">
                  <c:v>2017Q3</c:v>
                </c:pt>
                <c:pt idx="2">
                  <c:v>2017Q4</c:v>
                </c:pt>
                <c:pt idx="3">
                  <c:v>2018Q1</c:v>
                </c:pt>
                <c:pt idx="4">
                  <c:v>2018Q2</c:v>
                </c:pt>
                <c:pt idx="5">
                  <c:v>2018Q3</c:v>
                </c:pt>
                <c:pt idx="6">
                  <c:v>2018Q4</c:v>
                </c:pt>
                <c:pt idx="7">
                  <c:v>2019Q1</c:v>
                </c:pt>
                <c:pt idx="8">
                  <c:v>2019Q2</c:v>
                </c:pt>
                <c:pt idx="9">
                  <c:v>2019Q3</c:v>
                </c:pt>
                <c:pt idx="10">
                  <c:v>2019Q4</c:v>
                </c:pt>
                <c:pt idx="11">
                  <c:v>2020Q1</c:v>
                </c:pt>
                <c:pt idx="12">
                  <c:v>2020Q2</c:v>
                </c:pt>
                <c:pt idx="13">
                  <c:v>2020Q3</c:v>
                </c:pt>
                <c:pt idx="14">
                  <c:v>2020Q4</c:v>
                </c:pt>
                <c:pt idx="15">
                  <c:v>2021Q1</c:v>
                </c:pt>
                <c:pt idx="16">
                  <c:v>2021Q2</c:v>
                </c:pt>
                <c:pt idx="17">
                  <c:v>2021Q3</c:v>
                </c:pt>
                <c:pt idx="18">
                  <c:v>2021Q4</c:v>
                </c:pt>
                <c:pt idx="19">
                  <c:v>2022Q1</c:v>
                </c:pt>
                <c:pt idx="20">
                  <c:v>2022Q2</c:v>
                </c:pt>
                <c:pt idx="21">
                  <c:v>2022Q3</c:v>
                </c:pt>
                <c:pt idx="22">
                  <c:v>2022Q4</c:v>
                </c:pt>
                <c:pt idx="23">
                  <c:v>2023Q1</c:v>
                </c:pt>
                <c:pt idx="24">
                  <c:v>2023Q2</c:v>
                </c:pt>
                <c:pt idx="25">
                  <c:v>2023Q3</c:v>
                </c:pt>
                <c:pt idx="26">
                  <c:v>2023Q4</c:v>
                </c:pt>
                <c:pt idx="27">
                  <c:v>2024Q1</c:v>
                </c:pt>
                <c:pt idx="28">
                  <c:v>2024Q2</c:v>
                </c:pt>
                <c:pt idx="29">
                  <c:v>2024Q3</c:v>
                </c:pt>
                <c:pt idx="30">
                  <c:v>2024Q4</c:v>
                </c:pt>
              </c:strCache>
            </c:strRef>
          </c:cat>
          <c:val>
            <c:numRef>
              <c:f>'Foreign Indicators'!$D$6:$AH$6</c:f>
              <c:numCache>
                <c:formatCode>0.0%</c:formatCode>
                <c:ptCount val="31"/>
                <c:pt idx="0">
                  <c:v>9.0333333333333307E-3</c:v>
                </c:pt>
                <c:pt idx="1">
                  <c:v>1.05666666666667E-2</c:v>
                </c:pt>
                <c:pt idx="2">
                  <c:v>1.2266666666666698E-2</c:v>
                </c:pt>
                <c:pt idx="3">
                  <c:v>1.58333333333333E-2</c:v>
                </c:pt>
                <c:pt idx="4">
                  <c:v>1.8766666666666699E-2</c:v>
                </c:pt>
                <c:pt idx="5">
                  <c:v>2.0766666666666701E-2</c:v>
                </c:pt>
                <c:pt idx="6">
                  <c:v>2.3566666666666701E-2</c:v>
                </c:pt>
                <c:pt idx="7">
                  <c:v>2.43666666666667E-2</c:v>
                </c:pt>
                <c:pt idx="8">
                  <c:v>2.35E-2</c:v>
                </c:pt>
                <c:pt idx="9">
                  <c:v>2.0233333333333298E-2</c:v>
                </c:pt>
                <c:pt idx="10">
                  <c:v>1.6066666666666701E-2</c:v>
                </c:pt>
                <c:pt idx="11">
                  <c:v>1.1299999999999999E-2</c:v>
                </c:pt>
                <c:pt idx="12">
                  <c:v>1.4333333333333301E-3</c:v>
                </c:pt>
                <c:pt idx="13">
                  <c:v>1.1333333333333299E-3</c:v>
                </c:pt>
                <c:pt idx="14">
                  <c:v>9.33333333333333E-4</c:v>
                </c:pt>
                <c:pt idx="15">
                  <c:v>5.0000000000000001E-4</c:v>
                </c:pt>
                <c:pt idx="16">
                  <c:v>2.66666666666667E-4</c:v>
                </c:pt>
                <c:pt idx="17">
                  <c:v>4.6666666666666699E-4</c:v>
                </c:pt>
                <c:pt idx="18">
                  <c:v>5.3333333333333303E-4</c:v>
                </c:pt>
                <c:pt idx="19">
                  <c:v>3.0333333333333302E-3</c:v>
                </c:pt>
                <c:pt idx="20">
                  <c:v>1.0966666666666701E-2</c:v>
                </c:pt>
                <c:pt idx="21">
                  <c:v>2.7466666666666702E-2</c:v>
                </c:pt>
                <c:pt idx="22">
                  <c:v>4.1833333333333299E-2</c:v>
                </c:pt>
                <c:pt idx="23">
                  <c:v>4.8750000000000002E-2</c:v>
                </c:pt>
                <c:pt idx="24">
                  <c:v>5.2000000000000005E-2</c:v>
                </c:pt>
                <c:pt idx="25">
                  <c:v>5.2249999999999998E-2</c:v>
                </c:pt>
                <c:pt idx="26">
                  <c:v>5.1249999999999997E-2</c:v>
                </c:pt>
                <c:pt idx="27">
                  <c:v>5.0416666666666693E-2</c:v>
                </c:pt>
                <c:pt idx="28">
                  <c:v>4.4999999999999998E-2</c:v>
                </c:pt>
                <c:pt idx="29">
                  <c:v>4.1666666666666699E-2</c:v>
                </c:pt>
                <c:pt idx="30">
                  <c:v>4.1250000000000002E-2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19-4789-96E5-0997A517F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350175"/>
        <c:axId val="1054153167"/>
      </c:lineChart>
      <c:catAx>
        <c:axId val="127035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53167"/>
        <c:crosses val="autoZero"/>
        <c:auto val="1"/>
        <c:lblAlgn val="ctr"/>
        <c:lblOffset val="100"/>
        <c:noMultiLvlLbl val="0"/>
      </c:catAx>
      <c:valAx>
        <c:axId val="10541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5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Foreign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77537182852141"/>
          <c:y val="0.15648148148148147"/>
          <c:w val="0.62612970253718281"/>
          <c:h val="0.5506503353747448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'Foreign Indicators'!$B$8</c:f>
              <c:strCache>
                <c:ptCount val="1"/>
                <c:pt idx="0">
                  <c:v>Food index(LH)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'Foreign Indicators'!$D$4:$AH$4</c:f>
              <c:strCache>
                <c:ptCount val="31"/>
                <c:pt idx="0">
                  <c:v>2017Q2</c:v>
                </c:pt>
                <c:pt idx="1">
                  <c:v>2017Q3</c:v>
                </c:pt>
                <c:pt idx="2">
                  <c:v>2017Q4</c:v>
                </c:pt>
                <c:pt idx="3">
                  <c:v>2018Q1</c:v>
                </c:pt>
                <c:pt idx="4">
                  <c:v>2018Q2</c:v>
                </c:pt>
                <c:pt idx="5">
                  <c:v>2018Q3</c:v>
                </c:pt>
                <c:pt idx="6">
                  <c:v>2018Q4</c:v>
                </c:pt>
                <c:pt idx="7">
                  <c:v>2019Q1</c:v>
                </c:pt>
                <c:pt idx="8">
                  <c:v>2019Q2</c:v>
                </c:pt>
                <c:pt idx="9">
                  <c:v>2019Q3</c:v>
                </c:pt>
                <c:pt idx="10">
                  <c:v>2019Q4</c:v>
                </c:pt>
                <c:pt idx="11">
                  <c:v>2020Q1</c:v>
                </c:pt>
                <c:pt idx="12">
                  <c:v>2020Q2</c:v>
                </c:pt>
                <c:pt idx="13">
                  <c:v>2020Q3</c:v>
                </c:pt>
                <c:pt idx="14">
                  <c:v>2020Q4</c:v>
                </c:pt>
                <c:pt idx="15">
                  <c:v>2021Q1</c:v>
                </c:pt>
                <c:pt idx="16">
                  <c:v>2021Q2</c:v>
                </c:pt>
                <c:pt idx="17">
                  <c:v>2021Q3</c:v>
                </c:pt>
                <c:pt idx="18">
                  <c:v>2021Q4</c:v>
                </c:pt>
                <c:pt idx="19">
                  <c:v>2022Q1</c:v>
                </c:pt>
                <c:pt idx="20">
                  <c:v>2022Q2</c:v>
                </c:pt>
                <c:pt idx="21">
                  <c:v>2022Q3</c:v>
                </c:pt>
                <c:pt idx="22">
                  <c:v>2022Q4</c:v>
                </c:pt>
                <c:pt idx="23">
                  <c:v>2023Q1</c:v>
                </c:pt>
                <c:pt idx="24">
                  <c:v>2023Q2</c:v>
                </c:pt>
                <c:pt idx="25">
                  <c:v>2023Q3</c:v>
                </c:pt>
                <c:pt idx="26">
                  <c:v>2023Q4</c:v>
                </c:pt>
                <c:pt idx="27">
                  <c:v>2024Q1</c:v>
                </c:pt>
                <c:pt idx="28">
                  <c:v>2024Q2</c:v>
                </c:pt>
                <c:pt idx="29">
                  <c:v>2024Q3</c:v>
                </c:pt>
                <c:pt idx="30">
                  <c:v>2024Q4</c:v>
                </c:pt>
              </c:strCache>
            </c:strRef>
          </c:cat>
          <c:val>
            <c:numRef>
              <c:f>'Foreign Indicators'!$D$8:$AH$8</c:f>
              <c:numCache>
                <c:formatCode>0.0</c:formatCode>
                <c:ptCount val="31"/>
                <c:pt idx="0">
                  <c:v>104.18019263568927</c:v>
                </c:pt>
                <c:pt idx="1">
                  <c:v>103.26469350516949</c:v>
                </c:pt>
                <c:pt idx="2">
                  <c:v>102.07482731066466</c:v>
                </c:pt>
                <c:pt idx="3">
                  <c:v>106.20547173500381</c:v>
                </c:pt>
                <c:pt idx="4">
                  <c:v>106.38717471672406</c:v>
                </c:pt>
                <c:pt idx="5">
                  <c:v>99.106055385458362</c:v>
                </c:pt>
                <c:pt idx="6">
                  <c:v>98.322176292885729</c:v>
                </c:pt>
                <c:pt idx="7">
                  <c:v>99.100618809295042</c:v>
                </c:pt>
                <c:pt idx="8">
                  <c:v>99.958777255170261</c:v>
                </c:pt>
                <c:pt idx="9">
                  <c:v>98.195153827483963</c:v>
                </c:pt>
                <c:pt idx="10">
                  <c:v>100.22630907721391</c:v>
                </c:pt>
                <c:pt idx="11">
                  <c:v>101.23800705475234</c:v>
                </c:pt>
                <c:pt idx="12">
                  <c:v>96.418667769612412</c:v>
                </c:pt>
                <c:pt idx="13">
                  <c:v>98.75361685039455</c:v>
                </c:pt>
                <c:pt idx="14">
                  <c:v>107.75171562003165</c:v>
                </c:pt>
                <c:pt idx="15">
                  <c:v>119.35447482233076</c:v>
                </c:pt>
                <c:pt idx="16">
                  <c:v>130.84595372815252</c:v>
                </c:pt>
                <c:pt idx="17">
                  <c:v>129.15136972773527</c:v>
                </c:pt>
                <c:pt idx="18">
                  <c:v>130.37441801660452</c:v>
                </c:pt>
                <c:pt idx="19">
                  <c:v>148.21870172401776</c:v>
                </c:pt>
                <c:pt idx="20">
                  <c:v>157.86857663307293</c:v>
                </c:pt>
                <c:pt idx="21">
                  <c:v>138.19466160642446</c:v>
                </c:pt>
                <c:pt idx="22">
                  <c:v>137.16454759068799</c:v>
                </c:pt>
                <c:pt idx="23">
                  <c:v>139.94520121293718</c:v>
                </c:pt>
                <c:pt idx="24">
                  <c:v>139.45780085877524</c:v>
                </c:pt>
                <c:pt idx="25">
                  <c:v>135.85201193758127</c:v>
                </c:pt>
                <c:pt idx="26">
                  <c:v>133.76843642103495</c:v>
                </c:pt>
                <c:pt idx="27">
                  <c:v>134.41241068859227</c:v>
                </c:pt>
                <c:pt idx="28">
                  <c:v>135.18798976530698</c:v>
                </c:pt>
                <c:pt idx="29">
                  <c:v>132.22032451131375</c:v>
                </c:pt>
                <c:pt idx="30">
                  <c:v>131.63485208836786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5-4344-B95D-50FB190203E3}"/>
            </c:ext>
          </c:extLst>
        </c:ser>
        <c:ser>
          <c:idx val="2"/>
          <c:order val="2"/>
          <c:tx>
            <c:strRef>
              <c:f>'Foreign Indicators'!$B$9</c:f>
              <c:strCache>
                <c:ptCount val="1"/>
                <c:pt idx="0">
                  <c:v>Energy index(LH)</c:v>
                </c:pt>
              </c:strCache>
            </c:strRef>
          </c:tx>
          <c:spPr>
            <a:solidFill>
              <a:srgbClr val="11E34D"/>
            </a:solidFill>
            <a:ln>
              <a:solidFill>
                <a:srgbClr val="16DE20"/>
              </a:solidFill>
            </a:ln>
            <a:effectLst/>
          </c:spPr>
          <c:invertIfNegative val="0"/>
          <c:cat>
            <c:strRef>
              <c:f>'Foreign Indicators'!$D$4:$AH$4</c:f>
              <c:strCache>
                <c:ptCount val="31"/>
                <c:pt idx="0">
                  <c:v>2017Q2</c:v>
                </c:pt>
                <c:pt idx="1">
                  <c:v>2017Q3</c:v>
                </c:pt>
                <c:pt idx="2">
                  <c:v>2017Q4</c:v>
                </c:pt>
                <c:pt idx="3">
                  <c:v>2018Q1</c:v>
                </c:pt>
                <c:pt idx="4">
                  <c:v>2018Q2</c:v>
                </c:pt>
                <c:pt idx="5">
                  <c:v>2018Q3</c:v>
                </c:pt>
                <c:pt idx="6">
                  <c:v>2018Q4</c:v>
                </c:pt>
                <c:pt idx="7">
                  <c:v>2019Q1</c:v>
                </c:pt>
                <c:pt idx="8">
                  <c:v>2019Q2</c:v>
                </c:pt>
                <c:pt idx="9">
                  <c:v>2019Q3</c:v>
                </c:pt>
                <c:pt idx="10">
                  <c:v>2019Q4</c:v>
                </c:pt>
                <c:pt idx="11">
                  <c:v>2020Q1</c:v>
                </c:pt>
                <c:pt idx="12">
                  <c:v>2020Q2</c:v>
                </c:pt>
                <c:pt idx="13">
                  <c:v>2020Q3</c:v>
                </c:pt>
                <c:pt idx="14">
                  <c:v>2020Q4</c:v>
                </c:pt>
                <c:pt idx="15">
                  <c:v>2021Q1</c:v>
                </c:pt>
                <c:pt idx="16">
                  <c:v>2021Q2</c:v>
                </c:pt>
                <c:pt idx="17">
                  <c:v>2021Q3</c:v>
                </c:pt>
                <c:pt idx="18">
                  <c:v>2021Q4</c:v>
                </c:pt>
                <c:pt idx="19">
                  <c:v>2022Q1</c:v>
                </c:pt>
                <c:pt idx="20">
                  <c:v>2022Q2</c:v>
                </c:pt>
                <c:pt idx="21">
                  <c:v>2022Q3</c:v>
                </c:pt>
                <c:pt idx="22">
                  <c:v>2022Q4</c:v>
                </c:pt>
                <c:pt idx="23">
                  <c:v>2023Q1</c:v>
                </c:pt>
                <c:pt idx="24">
                  <c:v>2023Q2</c:v>
                </c:pt>
                <c:pt idx="25">
                  <c:v>2023Q3</c:v>
                </c:pt>
                <c:pt idx="26">
                  <c:v>2023Q4</c:v>
                </c:pt>
                <c:pt idx="27">
                  <c:v>2024Q1</c:v>
                </c:pt>
                <c:pt idx="28">
                  <c:v>2024Q2</c:v>
                </c:pt>
                <c:pt idx="29">
                  <c:v>2024Q3</c:v>
                </c:pt>
                <c:pt idx="30">
                  <c:v>2024Q4</c:v>
                </c:pt>
              </c:strCache>
            </c:strRef>
          </c:cat>
          <c:val>
            <c:numRef>
              <c:f>'Foreign Indicators'!$D$9:$AH$9</c:f>
              <c:numCache>
                <c:formatCode>0.0</c:formatCode>
                <c:ptCount val="31"/>
                <c:pt idx="0">
                  <c:v>49.663256258234519</c:v>
                </c:pt>
                <c:pt idx="1">
                  <c:v>50.343225212790422</c:v>
                </c:pt>
                <c:pt idx="2">
                  <c:v>58.712722462722461</c:v>
                </c:pt>
                <c:pt idx="3">
                  <c:v>64.743637900746592</c:v>
                </c:pt>
                <c:pt idx="4">
                  <c:v>71.646128364389227</c:v>
                </c:pt>
                <c:pt idx="5">
                  <c:v>73.302795564339036</c:v>
                </c:pt>
                <c:pt idx="6">
                  <c:v>64.437560909300032</c:v>
                </c:pt>
                <c:pt idx="7">
                  <c:v>60.702674028065324</c:v>
                </c:pt>
                <c:pt idx="8">
                  <c:v>64.985770092226616</c:v>
                </c:pt>
                <c:pt idx="9">
                  <c:v>59.739888951628075</c:v>
                </c:pt>
                <c:pt idx="10">
                  <c:v>60.301003199698862</c:v>
                </c:pt>
                <c:pt idx="11">
                  <c:v>49.096131971892845</c:v>
                </c:pt>
                <c:pt idx="12">
                  <c:v>31.451851851851853</c:v>
                </c:pt>
                <c:pt idx="13">
                  <c:v>42.312498692933481</c:v>
                </c:pt>
                <c:pt idx="14">
                  <c:v>44.201507622811981</c:v>
                </c:pt>
                <c:pt idx="15">
                  <c:v>59.648475385323216</c:v>
                </c:pt>
                <c:pt idx="16">
                  <c:v>67.350889850889857</c:v>
                </c:pt>
                <c:pt idx="17">
                  <c:v>71.707373737373743</c:v>
                </c:pt>
                <c:pt idx="18">
                  <c:v>78.293173766652032</c:v>
                </c:pt>
                <c:pt idx="19">
                  <c:v>95.353100989187951</c:v>
                </c:pt>
                <c:pt idx="20">
                  <c:v>109.42356661856661</c:v>
                </c:pt>
                <c:pt idx="21">
                  <c:v>95.474347616956308</c:v>
                </c:pt>
                <c:pt idx="22">
                  <c:v>85.197222222222209</c:v>
                </c:pt>
                <c:pt idx="23">
                  <c:v>78.928421169999993</c:v>
                </c:pt>
                <c:pt idx="24">
                  <c:v>71.79878977766667</c:v>
                </c:pt>
                <c:pt idx="25">
                  <c:v>71.304694111333347</c:v>
                </c:pt>
                <c:pt idx="26">
                  <c:v>70.486951777666661</c:v>
                </c:pt>
                <c:pt idx="27">
                  <c:v>69.738506666666666</c:v>
                </c:pt>
                <c:pt idx="28">
                  <c:v>69.144704777999991</c:v>
                </c:pt>
                <c:pt idx="29">
                  <c:v>68.602961666666673</c:v>
                </c:pt>
                <c:pt idx="30">
                  <c:v>68.11509555566667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5-4344-B95D-50FB19020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270359775"/>
        <c:axId val="1270360735"/>
      </c:barChart>
      <c:lineChart>
        <c:grouping val="standard"/>
        <c:varyColors val="0"/>
        <c:ser>
          <c:idx val="0"/>
          <c:order val="0"/>
          <c:tx>
            <c:strRef>
              <c:f>'Foreign Indicators'!$B$7</c:f>
              <c:strCache>
                <c:ptCount val="1"/>
                <c:pt idx="0">
                  <c:v>Foreign index(RH)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'Foreign Indicators'!$D$4:$AH$4</c:f>
              <c:strCache>
                <c:ptCount val="31"/>
                <c:pt idx="0">
                  <c:v>2017Q2</c:v>
                </c:pt>
                <c:pt idx="1">
                  <c:v>2017Q3</c:v>
                </c:pt>
                <c:pt idx="2">
                  <c:v>2017Q4</c:v>
                </c:pt>
                <c:pt idx="3">
                  <c:v>2018Q1</c:v>
                </c:pt>
                <c:pt idx="4">
                  <c:v>2018Q2</c:v>
                </c:pt>
                <c:pt idx="5">
                  <c:v>2018Q3</c:v>
                </c:pt>
                <c:pt idx="6">
                  <c:v>2018Q4</c:v>
                </c:pt>
                <c:pt idx="7">
                  <c:v>2019Q1</c:v>
                </c:pt>
                <c:pt idx="8">
                  <c:v>2019Q2</c:v>
                </c:pt>
                <c:pt idx="9">
                  <c:v>2019Q3</c:v>
                </c:pt>
                <c:pt idx="10">
                  <c:v>2019Q4</c:v>
                </c:pt>
                <c:pt idx="11">
                  <c:v>2020Q1</c:v>
                </c:pt>
                <c:pt idx="12">
                  <c:v>2020Q2</c:v>
                </c:pt>
                <c:pt idx="13">
                  <c:v>2020Q3</c:v>
                </c:pt>
                <c:pt idx="14">
                  <c:v>2020Q4</c:v>
                </c:pt>
                <c:pt idx="15">
                  <c:v>2021Q1</c:v>
                </c:pt>
                <c:pt idx="16">
                  <c:v>2021Q2</c:v>
                </c:pt>
                <c:pt idx="17">
                  <c:v>2021Q3</c:v>
                </c:pt>
                <c:pt idx="18">
                  <c:v>2021Q4</c:v>
                </c:pt>
                <c:pt idx="19">
                  <c:v>2022Q1</c:v>
                </c:pt>
                <c:pt idx="20">
                  <c:v>2022Q2</c:v>
                </c:pt>
                <c:pt idx="21">
                  <c:v>2022Q3</c:v>
                </c:pt>
                <c:pt idx="22">
                  <c:v>2022Q4</c:v>
                </c:pt>
                <c:pt idx="23">
                  <c:v>2023Q1</c:v>
                </c:pt>
                <c:pt idx="24">
                  <c:v>2023Q2</c:v>
                </c:pt>
                <c:pt idx="25">
                  <c:v>2023Q3</c:v>
                </c:pt>
                <c:pt idx="26">
                  <c:v>2023Q4</c:v>
                </c:pt>
                <c:pt idx="27">
                  <c:v>2024Q1</c:v>
                </c:pt>
                <c:pt idx="28">
                  <c:v>2024Q2</c:v>
                </c:pt>
                <c:pt idx="29">
                  <c:v>2024Q3</c:v>
                </c:pt>
                <c:pt idx="30">
                  <c:v>2024Q4</c:v>
                </c:pt>
              </c:strCache>
            </c:strRef>
          </c:cat>
          <c:val>
            <c:numRef>
              <c:f>'Foreign Indicators'!$D$7:$AH$7</c:f>
              <c:numCache>
                <c:formatCode>0.0%</c:formatCode>
                <c:ptCount val="31"/>
                <c:pt idx="0">
                  <c:v>-5.1398458416268469E-3</c:v>
                </c:pt>
                <c:pt idx="1">
                  <c:v>4.1552500382877951E-2</c:v>
                </c:pt>
                <c:pt idx="2">
                  <c:v>7.1035879472285859E-2</c:v>
                </c:pt>
                <c:pt idx="3">
                  <c:v>0.12030407647837105</c:v>
                </c:pt>
                <c:pt idx="4">
                  <c:v>6.6154508620760166E-2</c:v>
                </c:pt>
                <c:pt idx="5">
                  <c:v>4.3524719388562273E-3</c:v>
                </c:pt>
                <c:pt idx="6">
                  <c:v>-7.9705540530830826E-3</c:v>
                </c:pt>
                <c:pt idx="7">
                  <c:v>-4.095797909027224E-2</c:v>
                </c:pt>
                <c:pt idx="8">
                  <c:v>-2.6788567315255262E-2</c:v>
                </c:pt>
                <c:pt idx="9">
                  <c:v>-1.4934110827158372E-2</c:v>
                </c:pt>
                <c:pt idx="10">
                  <c:v>-4.6078955224732451E-3</c:v>
                </c:pt>
                <c:pt idx="11">
                  <c:v>-1.8206510856555645E-2</c:v>
                </c:pt>
                <c:pt idx="12">
                  <c:v>-7.5999677463718385E-3</c:v>
                </c:pt>
                <c:pt idx="13">
                  <c:v>4.7473683476621502E-2</c:v>
                </c:pt>
                <c:pt idx="14">
                  <c:v>7.289810290860109E-2</c:v>
                </c:pt>
                <c:pt idx="15">
                  <c:v>7.9570541052873756E-2</c:v>
                </c:pt>
                <c:pt idx="16">
                  <c:v>9.1764748417418274E-2</c:v>
                </c:pt>
                <c:pt idx="17">
                  <c:v>3.8856087180610836E-2</c:v>
                </c:pt>
                <c:pt idx="18">
                  <c:v>1.2421537026773115E-2</c:v>
                </c:pt>
                <c:pt idx="19">
                  <c:v>2.6956841646369155E-2</c:v>
                </c:pt>
                <c:pt idx="20">
                  <c:v>-2.2130646413859936E-2</c:v>
                </c:pt>
                <c:pt idx="21">
                  <c:v>-5.0710760500137064E-2</c:v>
                </c:pt>
                <c:pt idx="22">
                  <c:v>-3.6411021956021507E-2</c:v>
                </c:pt>
                <c:pt idx="23">
                  <c:v>5.1245573580088024E-3</c:v>
                </c:pt>
                <c:pt idx="24">
                  <c:v>5.5798876760650859E-2</c:v>
                </c:pt>
                <c:pt idx="25">
                  <c:v>0.10029694036062979</c:v>
                </c:pt>
                <c:pt idx="26">
                  <c:v>9.1553781114550592E-2</c:v>
                </c:pt>
                <c:pt idx="27">
                  <c:v>4.5202744246323964E-2</c:v>
                </c:pt>
                <c:pt idx="28">
                  <c:v>3.7353670623207012E-2</c:v>
                </c:pt>
                <c:pt idx="29">
                  <c:v>3.1875615052165233E-2</c:v>
                </c:pt>
                <c:pt idx="30">
                  <c:v>3.3953433954818563E-2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85-4344-B95D-50FB19020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184767"/>
        <c:axId val="1493179487"/>
      </c:lineChart>
      <c:dateAx>
        <c:axId val="127035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60735"/>
        <c:crosses val="autoZero"/>
        <c:auto val="0"/>
        <c:lblOffset val="100"/>
        <c:baseTimeUnit val="days"/>
      </c:dateAx>
      <c:valAx>
        <c:axId val="12703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59775"/>
        <c:crosses val="autoZero"/>
        <c:crossBetween val="between"/>
      </c:valAx>
      <c:valAx>
        <c:axId val="14931794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84767"/>
        <c:crosses val="max"/>
        <c:crossBetween val="between"/>
      </c:valAx>
      <c:catAx>
        <c:axId val="1493184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3179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CPI</a:t>
            </a:r>
            <a:r>
              <a:rPr lang="en-US" sz="12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US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55945921529405E-2"/>
          <c:y val="0.15573131493998113"/>
          <c:w val="0.75496479413631079"/>
          <c:h val="0.57865829386957324"/>
        </c:manualLayout>
      </c:layout>
      <c:lineChart>
        <c:grouping val="standard"/>
        <c:varyColors val="0"/>
        <c:ser>
          <c:idx val="0"/>
          <c:order val="0"/>
          <c:tx>
            <c:strRef>
              <c:f>INFLATION!$A$6</c:f>
              <c:strCache>
                <c:ptCount val="1"/>
                <c:pt idx="0">
                  <c:v>CPI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INFLATION!$C$5:$AG$5</c:f>
              <c:strCache>
                <c:ptCount val="31"/>
                <c:pt idx="0">
                  <c:v>2017Q2</c:v>
                </c:pt>
                <c:pt idx="1">
                  <c:v>2017Q3</c:v>
                </c:pt>
                <c:pt idx="2">
                  <c:v>2017Q4</c:v>
                </c:pt>
                <c:pt idx="3">
                  <c:v>2018Q1</c:v>
                </c:pt>
                <c:pt idx="4">
                  <c:v>2018Q2</c:v>
                </c:pt>
                <c:pt idx="5">
                  <c:v>2018Q3</c:v>
                </c:pt>
                <c:pt idx="6">
                  <c:v>2018Q4</c:v>
                </c:pt>
                <c:pt idx="7">
                  <c:v>2019Q1</c:v>
                </c:pt>
                <c:pt idx="8">
                  <c:v>2019Q2</c:v>
                </c:pt>
                <c:pt idx="9">
                  <c:v>2019Q3</c:v>
                </c:pt>
                <c:pt idx="10">
                  <c:v>2019Q4</c:v>
                </c:pt>
                <c:pt idx="11">
                  <c:v>2020Q1</c:v>
                </c:pt>
                <c:pt idx="12">
                  <c:v>2020Q2</c:v>
                </c:pt>
                <c:pt idx="13">
                  <c:v>2020Q3</c:v>
                </c:pt>
                <c:pt idx="14">
                  <c:v>2020Q4</c:v>
                </c:pt>
                <c:pt idx="15">
                  <c:v>2021Q1</c:v>
                </c:pt>
                <c:pt idx="16">
                  <c:v>2021Q2</c:v>
                </c:pt>
                <c:pt idx="17">
                  <c:v>2021Q3</c:v>
                </c:pt>
                <c:pt idx="18">
                  <c:v>2021Q4</c:v>
                </c:pt>
                <c:pt idx="19">
                  <c:v>2022Q1</c:v>
                </c:pt>
                <c:pt idx="20">
                  <c:v>2022Q2</c:v>
                </c:pt>
                <c:pt idx="21">
                  <c:v>2022Q3</c:v>
                </c:pt>
                <c:pt idx="22">
                  <c:v>2022Q4</c:v>
                </c:pt>
                <c:pt idx="23">
                  <c:v>2023Q1</c:v>
                </c:pt>
                <c:pt idx="24">
                  <c:v>2023Q2</c:v>
                </c:pt>
                <c:pt idx="25">
                  <c:v>2023Q3</c:v>
                </c:pt>
                <c:pt idx="26">
                  <c:v>2023Q4</c:v>
                </c:pt>
                <c:pt idx="27">
                  <c:v>2024Q1</c:v>
                </c:pt>
                <c:pt idx="28">
                  <c:v>2024Q2</c:v>
                </c:pt>
                <c:pt idx="29">
                  <c:v>2024Q3</c:v>
                </c:pt>
                <c:pt idx="30">
                  <c:v>2024Q4</c:v>
                </c:pt>
              </c:strCache>
            </c:strRef>
          </c:cat>
          <c:val>
            <c:numRef>
              <c:f>INFLATION!$B$6:$AG$6</c:f>
              <c:numCache>
                <c:formatCode>0.0</c:formatCode>
                <c:ptCount val="32"/>
                <c:pt idx="0">
                  <c:v>113.5198383513525</c:v>
                </c:pt>
                <c:pt idx="1">
                  <c:v>114.37468981146931</c:v>
                </c:pt>
                <c:pt idx="2">
                  <c:v>114.20406985093587</c:v>
                </c:pt>
                <c:pt idx="3">
                  <c:v>115.11432504336199</c:v>
                </c:pt>
                <c:pt idx="4">
                  <c:v>114.59628222051175</c:v>
                </c:pt>
                <c:pt idx="5">
                  <c:v>117.27792444599999</c:v>
                </c:pt>
                <c:pt idx="6">
                  <c:v>116.23063514615683</c:v>
                </c:pt>
                <c:pt idx="7">
                  <c:v>115.34353302789231</c:v>
                </c:pt>
                <c:pt idx="8">
                  <c:v>115.69621376066327</c:v>
                </c:pt>
                <c:pt idx="9">
                  <c:v>117.69777140290451</c:v>
                </c:pt>
                <c:pt idx="10">
                  <c:v>119.05116171878278</c:v>
                </c:pt>
                <c:pt idx="11">
                  <c:v>122.24635218827986</c:v>
                </c:pt>
                <c:pt idx="12">
                  <c:v>125.16496240504375</c:v>
                </c:pt>
                <c:pt idx="13">
                  <c:v>127.99379119397479</c:v>
                </c:pt>
                <c:pt idx="14">
                  <c:v>129.73576410881324</c:v>
                </c:pt>
                <c:pt idx="15">
                  <c:v>128.42239047720275</c:v>
                </c:pt>
                <c:pt idx="16">
                  <c:v>127.81270377573735</c:v>
                </c:pt>
                <c:pt idx="17">
                  <c:v>128.85809924018801</c:v>
                </c:pt>
                <c:pt idx="18">
                  <c:v>128.91445740317386</c:v>
                </c:pt>
                <c:pt idx="19">
                  <c:v>129.91297789155544</c:v>
                </c:pt>
                <c:pt idx="20">
                  <c:v>135.34349992016891</c:v>
                </c:pt>
                <c:pt idx="21">
                  <c:v>144.3857609489265</c:v>
                </c:pt>
                <c:pt idx="22">
                  <c:v>150.01536855259664</c:v>
                </c:pt>
                <c:pt idx="23">
                  <c:v>157.3683555290647</c:v>
                </c:pt>
                <c:pt idx="24">
                  <c:v>162.72298868059943</c:v>
                </c:pt>
                <c:pt idx="25">
                  <c:v>166.30511423015028</c:v>
                </c:pt>
                <c:pt idx="26">
                  <c:v>169.04460832802263</c:v>
                </c:pt>
                <c:pt idx="27">
                  <c:v>173.28202293291761</c:v>
                </c:pt>
                <c:pt idx="28">
                  <c:v>170.34877761547895</c:v>
                </c:pt>
                <c:pt idx="29">
                  <c:v>174.81962230491658</c:v>
                </c:pt>
                <c:pt idx="30">
                  <c:v>175.95804858095846</c:v>
                </c:pt>
                <c:pt idx="31">
                  <c:v>180.24297372112537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5-429D-8C2D-3A49C4073F5E}"/>
            </c:ext>
          </c:extLst>
        </c:ser>
        <c:ser>
          <c:idx val="1"/>
          <c:order val="1"/>
          <c:tx>
            <c:strRef>
              <c:f>INFLATION!$A$7</c:f>
              <c:strCache>
                <c:ptCount val="1"/>
                <c:pt idx="0">
                  <c:v>Food index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INFLATION!$B$5:$AG$5</c:f>
              <c:strCache>
                <c:ptCount val="32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</c:strCache>
            </c:strRef>
          </c:cat>
          <c:val>
            <c:numRef>
              <c:f>INFLATION!$B$7:$AG$7</c:f>
              <c:numCache>
                <c:formatCode>0.0</c:formatCode>
                <c:ptCount val="32"/>
                <c:pt idx="0">
                  <c:v>130.19551595528262</c:v>
                </c:pt>
                <c:pt idx="1">
                  <c:v>129.65557858673188</c:v>
                </c:pt>
                <c:pt idx="2">
                  <c:v>128.80331057769919</c:v>
                </c:pt>
                <c:pt idx="3">
                  <c:v>131.01387099835631</c:v>
                </c:pt>
                <c:pt idx="4">
                  <c:v>124.35470888673228</c:v>
                </c:pt>
                <c:pt idx="5">
                  <c:v>132.23449718457377</c:v>
                </c:pt>
                <c:pt idx="6">
                  <c:v>128.10181479820645</c:v>
                </c:pt>
                <c:pt idx="7">
                  <c:v>120.87250659089726</c:v>
                </c:pt>
                <c:pt idx="8">
                  <c:v>121.32927051791096</c:v>
                </c:pt>
                <c:pt idx="9">
                  <c:v>128.05876379480355</c:v>
                </c:pt>
                <c:pt idx="10">
                  <c:v>132.18686711999933</c:v>
                </c:pt>
                <c:pt idx="11">
                  <c:v>146.02281890995206</c:v>
                </c:pt>
                <c:pt idx="12">
                  <c:v>152.6948643249716</c:v>
                </c:pt>
                <c:pt idx="13">
                  <c:v>149.82549541250148</c:v>
                </c:pt>
                <c:pt idx="14">
                  <c:v>156.3583125988595</c:v>
                </c:pt>
                <c:pt idx="15">
                  <c:v>158.05465880796291</c:v>
                </c:pt>
                <c:pt idx="16">
                  <c:v>149.76855254266374</c:v>
                </c:pt>
                <c:pt idx="17">
                  <c:v>149.32940457202687</c:v>
                </c:pt>
                <c:pt idx="18">
                  <c:v>147.24837510809519</c:v>
                </c:pt>
                <c:pt idx="19">
                  <c:v>144.39984366736411</c:v>
                </c:pt>
                <c:pt idx="20">
                  <c:v>155.89028458977052</c:v>
                </c:pt>
                <c:pt idx="21">
                  <c:v>173.59597286520753</c:v>
                </c:pt>
                <c:pt idx="22">
                  <c:v>190.98545459332874</c:v>
                </c:pt>
                <c:pt idx="23">
                  <c:v>213.82254558363286</c:v>
                </c:pt>
                <c:pt idx="24">
                  <c:v>232.10641613757682</c:v>
                </c:pt>
                <c:pt idx="25">
                  <c:v>243.77157197063283</c:v>
                </c:pt>
                <c:pt idx="26">
                  <c:v>251.28007886951937</c:v>
                </c:pt>
                <c:pt idx="27">
                  <c:v>253.84253286609601</c:v>
                </c:pt>
                <c:pt idx="28">
                  <c:v>237.98010194220396</c:v>
                </c:pt>
                <c:pt idx="29">
                  <c:v>247.58577074876564</c:v>
                </c:pt>
                <c:pt idx="30">
                  <c:v>251.81239026995709</c:v>
                </c:pt>
                <c:pt idx="31">
                  <c:v>268.00738304490801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35-429D-8C2D-3A49C4073F5E}"/>
            </c:ext>
          </c:extLst>
        </c:ser>
        <c:ser>
          <c:idx val="2"/>
          <c:order val="2"/>
          <c:tx>
            <c:strRef>
              <c:f>INFLATION!$A$8</c:f>
              <c:strCache>
                <c:ptCount val="1"/>
                <c:pt idx="0">
                  <c:v>core index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INFLATION!$B$5:$AG$5</c:f>
              <c:strCache>
                <c:ptCount val="32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</c:strCache>
            </c:strRef>
          </c:cat>
          <c:val>
            <c:numRef>
              <c:f>INFLATION!$B$8:$AG$8</c:f>
              <c:numCache>
                <c:formatCode>0.0</c:formatCode>
                <c:ptCount val="32"/>
                <c:pt idx="0">
                  <c:v>110.20848792105016</c:v>
                </c:pt>
                <c:pt idx="1">
                  <c:v>111.07432475205816</c:v>
                </c:pt>
                <c:pt idx="2">
                  <c:v>111.14268080896484</c:v>
                </c:pt>
                <c:pt idx="3">
                  <c:v>111.68852882551927</c:v>
                </c:pt>
                <c:pt idx="4">
                  <c:v>112.07777550813796</c:v>
                </c:pt>
                <c:pt idx="5">
                  <c:v>113.07297076330069</c:v>
                </c:pt>
                <c:pt idx="6">
                  <c:v>112.82507411349705</c:v>
                </c:pt>
                <c:pt idx="7">
                  <c:v>113.21014054513363</c:v>
                </c:pt>
                <c:pt idx="8">
                  <c:v>113.90608188941938</c:v>
                </c:pt>
                <c:pt idx="9">
                  <c:v>114.91122351633352</c:v>
                </c:pt>
                <c:pt idx="10">
                  <c:v>115.82592706222816</c:v>
                </c:pt>
                <c:pt idx="11">
                  <c:v>116.94120718070515</c:v>
                </c:pt>
                <c:pt idx="12">
                  <c:v>118.7842185076682</c:v>
                </c:pt>
                <c:pt idx="13">
                  <c:v>122.57080589365438</c:v>
                </c:pt>
                <c:pt idx="14">
                  <c:v>124.12217087104757</c:v>
                </c:pt>
                <c:pt idx="15">
                  <c:v>121.84093919618401</c:v>
                </c:pt>
                <c:pt idx="16">
                  <c:v>122.64271471445072</c:v>
                </c:pt>
                <c:pt idx="17">
                  <c:v>123.96793854574405</c:v>
                </c:pt>
                <c:pt idx="18">
                  <c:v>124.47800318739557</c:v>
                </c:pt>
                <c:pt idx="19">
                  <c:v>126.12677245175581</c:v>
                </c:pt>
                <c:pt idx="20">
                  <c:v>129.83837197143237</c:v>
                </c:pt>
                <c:pt idx="21">
                  <c:v>136.87801777592816</c:v>
                </c:pt>
                <c:pt idx="22">
                  <c:v>140.58529718042965</c:v>
                </c:pt>
                <c:pt idx="23">
                  <c:v>144.89292359617778</c:v>
                </c:pt>
                <c:pt idx="24">
                  <c:v>147.93067264878835</c:v>
                </c:pt>
                <c:pt idx="25">
                  <c:v>150.16492141443476</c:v>
                </c:pt>
                <c:pt idx="26">
                  <c:v>152.41212052661123</c:v>
                </c:pt>
                <c:pt idx="27">
                  <c:v>154.53816162816176</c:v>
                </c:pt>
                <c:pt idx="28">
                  <c:v>156.15770608940178</c:v>
                </c:pt>
                <c:pt idx="29">
                  <c:v>159.69797493443983</c:v>
                </c:pt>
                <c:pt idx="30">
                  <c:v>160.53952787261537</c:v>
                </c:pt>
                <c:pt idx="31">
                  <c:v>162.94123411695162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35-429D-8C2D-3A49C4073F5E}"/>
            </c:ext>
          </c:extLst>
        </c:ser>
        <c:ser>
          <c:idx val="3"/>
          <c:order val="3"/>
          <c:tx>
            <c:strRef>
              <c:f>INFLATION!$A$9</c:f>
              <c:strCache>
                <c:ptCount val="1"/>
                <c:pt idx="0">
                  <c:v>Energy index 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INFLATION!$B$5:$AG$5</c:f>
              <c:strCache>
                <c:ptCount val="32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</c:strCache>
            </c:strRef>
          </c:cat>
          <c:val>
            <c:numRef>
              <c:f>INFLATION!$B$9:$AG$9</c:f>
              <c:numCache>
                <c:formatCode>0.0</c:formatCode>
                <c:ptCount val="32"/>
                <c:pt idx="0">
                  <c:v>108.08012150151741</c:v>
                </c:pt>
                <c:pt idx="1">
                  <c:v>111.56074341389144</c:v>
                </c:pt>
                <c:pt idx="2">
                  <c:v>110.5855581197394</c:v>
                </c:pt>
                <c:pt idx="3">
                  <c:v>112.60598694464933</c:v>
                </c:pt>
                <c:pt idx="4">
                  <c:v>115.92966460718519</c:v>
                </c:pt>
                <c:pt idx="5">
                  <c:v>125.69890019625454</c:v>
                </c:pt>
                <c:pt idx="6">
                  <c:v>122.71207924144271</c:v>
                </c:pt>
                <c:pt idx="7">
                  <c:v>121.99976757143811</c:v>
                </c:pt>
                <c:pt idx="8">
                  <c:v>118.19867051112566</c:v>
                </c:pt>
                <c:pt idx="9">
                  <c:v>120.56163063983848</c:v>
                </c:pt>
                <c:pt idx="10">
                  <c:v>120.45951142762642</c:v>
                </c:pt>
                <c:pt idx="11">
                  <c:v>122.66946276134581</c:v>
                </c:pt>
                <c:pt idx="12">
                  <c:v>129.03807584986052</c:v>
                </c:pt>
                <c:pt idx="13">
                  <c:v>133.97142264606262</c:v>
                </c:pt>
                <c:pt idx="14">
                  <c:v>126.78663497663347</c:v>
                </c:pt>
                <c:pt idx="15">
                  <c:v>129.6843615122846</c:v>
                </c:pt>
                <c:pt idx="16">
                  <c:v>130.63824132118054</c:v>
                </c:pt>
                <c:pt idx="17">
                  <c:v>131.87457303678474</c:v>
                </c:pt>
                <c:pt idx="18">
                  <c:v>131.68983446664106</c:v>
                </c:pt>
                <c:pt idx="19">
                  <c:v>134.10651941325099</c:v>
                </c:pt>
                <c:pt idx="20">
                  <c:v>144.87166106629323</c:v>
                </c:pt>
                <c:pt idx="21">
                  <c:v>156.54130299012601</c:v>
                </c:pt>
                <c:pt idx="22">
                  <c:v>156.56776342088918</c:v>
                </c:pt>
                <c:pt idx="23">
                  <c:v>162.59528155143195</c:v>
                </c:pt>
                <c:pt idx="24">
                  <c:v>164.30892409229151</c:v>
                </c:pt>
                <c:pt idx="25">
                  <c:v>164.46045459001036</c:v>
                </c:pt>
                <c:pt idx="26">
                  <c:v>161.85415359622746</c:v>
                </c:pt>
                <c:pt idx="27">
                  <c:v>166.28727525122528</c:v>
                </c:pt>
                <c:pt idx="28">
                  <c:v>168.8107394218969</c:v>
                </c:pt>
                <c:pt idx="29">
                  <c:v>171.8536801118029</c:v>
                </c:pt>
                <c:pt idx="30">
                  <c:v>169.90703189672342</c:v>
                </c:pt>
                <c:pt idx="31">
                  <c:v>168.21872116472969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835-429D-8C2D-3A49C407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638383"/>
        <c:axId val="1411638863"/>
      </c:lineChart>
      <c:catAx>
        <c:axId val="141163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38863"/>
        <c:crosses val="autoZero"/>
        <c:auto val="1"/>
        <c:lblAlgn val="ctr"/>
        <c:lblOffset val="100"/>
        <c:noMultiLvlLbl val="0"/>
      </c:catAx>
      <c:valAx>
        <c:axId val="14116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3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INFLATION!$A$11</c:f>
              <c:strCache>
                <c:ptCount val="1"/>
                <c:pt idx="0">
                  <c:v>core </c:v>
                </c:pt>
              </c:strCache>
            </c:strRef>
          </c:tx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INFLATION!$B$5:$AG$5</c:f>
              <c:strCache>
                <c:ptCount val="32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</c:strCache>
            </c:strRef>
          </c:cat>
          <c:val>
            <c:numRef>
              <c:f>INFLATION!$B$11:$AG$11</c:f>
              <c:numCache>
                <c:formatCode>0.0%</c:formatCode>
                <c:ptCount val="32"/>
                <c:pt idx="0">
                  <c:v>5.4968032943358759E-2</c:v>
                </c:pt>
                <c:pt idx="1">
                  <c:v>4.5984891791154135E-2</c:v>
                </c:pt>
                <c:pt idx="2">
                  <c:v>3.1447030734740679E-2</c:v>
                </c:pt>
                <c:pt idx="3">
                  <c:v>2.5143211598469328E-2</c:v>
                </c:pt>
                <c:pt idx="4">
                  <c:v>1.6964635630031772E-2</c:v>
                </c:pt>
                <c:pt idx="5">
                  <c:v>1.7997678437070341E-2</c:v>
                </c:pt>
                <c:pt idx="6">
                  <c:v>1.5138100931745724E-2</c:v>
                </c:pt>
                <c:pt idx="7">
                  <c:v>1.3623390708456565E-2</c:v>
                </c:pt>
                <c:pt idx="8">
                  <c:v>1.6311466444983862E-2</c:v>
                </c:pt>
                <c:pt idx="9">
                  <c:v>1.6258902854680974E-2</c:v>
                </c:pt>
                <c:pt idx="10">
                  <c:v>2.6597818316190791E-2</c:v>
                </c:pt>
                <c:pt idx="11">
                  <c:v>3.2953190020601784E-2</c:v>
                </c:pt>
                <c:pt idx="12">
                  <c:v>4.2823968637851172E-2</c:v>
                </c:pt>
                <c:pt idx="13">
                  <c:v>6.6621164584083889E-2</c:v>
                </c:pt>
                <c:pt idx="14">
                  <c:v>7.162754144467505E-2</c:v>
                </c:pt>
                <c:pt idx="15">
                  <c:v>4.1927804995162278E-2</c:v>
                </c:pt>
                <c:pt idx="16">
                  <c:v>3.2485202591970803E-2</c:v>
                </c:pt>
                <c:pt idx="17">
                  <c:v>1.1651983943363309E-2</c:v>
                </c:pt>
                <c:pt idx="18">
                  <c:v>2.8676645144497526E-3</c:v>
                </c:pt>
                <c:pt idx="19">
                  <c:v>3.5192402681253419E-2</c:v>
                </c:pt>
                <c:pt idx="20">
                  <c:v>5.8627877818139273E-2</c:v>
                </c:pt>
                <c:pt idx="21">
                  <c:v>0.10412567392892957</c:v>
                </c:pt>
                <c:pt idx="22">
                  <c:v>0.12939028639356573</c:v>
                </c:pt>
                <c:pt idx="23">
                  <c:v>0.14877323599969694</c:v>
                </c:pt>
                <c:pt idx="24">
                  <c:v>0.13954129908858715</c:v>
                </c:pt>
                <c:pt idx="25">
                  <c:v>9.7184657384882689E-2</c:v>
                </c:pt>
                <c:pt idx="26">
                  <c:v>8.413025001690122E-2</c:v>
                </c:pt>
                <c:pt idx="27">
                  <c:v>6.6618732313654824E-2</c:v>
                </c:pt>
                <c:pt idx="28">
                  <c:v>5.560573985814421E-2</c:v>
                </c:pt>
                <c:pt idx="29">
                  <c:v>6.3491401880510764E-2</c:v>
                </c:pt>
                <c:pt idx="30">
                  <c:v>5.3337539187386117E-2</c:v>
                </c:pt>
                <c:pt idx="31">
                  <c:v>5.4373948511425706E-2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7C-4462-8FCA-8C3CB919043D}"/>
            </c:ext>
          </c:extLst>
        </c:ser>
        <c:ser>
          <c:idx val="1"/>
          <c:order val="1"/>
          <c:tx>
            <c:strRef>
              <c:f>INFLATION!$A$12</c:f>
              <c:strCache>
                <c:ptCount val="1"/>
                <c:pt idx="0">
                  <c:v>Food 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INFLATION!$B$5:$AG$5</c:f>
              <c:strCache>
                <c:ptCount val="32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</c:strCache>
            </c:strRef>
          </c:cat>
          <c:val>
            <c:numRef>
              <c:f>INFLATION!$B$12:$AG$12</c:f>
              <c:numCache>
                <c:formatCode>0.0%</c:formatCode>
                <c:ptCount val="32"/>
                <c:pt idx="0">
                  <c:v>0.18402601997513846</c:v>
                </c:pt>
                <c:pt idx="1">
                  <c:v>0.12764189373458126</c:v>
                </c:pt>
                <c:pt idx="2">
                  <c:v>4.5530238624625907E-2</c:v>
                </c:pt>
                <c:pt idx="3">
                  <c:v>-5.812987977158901E-3</c:v>
                </c:pt>
                <c:pt idx="4">
                  <c:v>-4.4853374713211124E-2</c:v>
                </c:pt>
                <c:pt idx="5">
                  <c:v>2.0647318066311482E-2</c:v>
                </c:pt>
                <c:pt idx="6">
                  <c:v>-4.6486683230128056E-3</c:v>
                </c:pt>
                <c:pt idx="7">
                  <c:v>-7.5215652896104032E-2</c:v>
                </c:pt>
                <c:pt idx="8">
                  <c:v>-2.4433204720028967E-2</c:v>
                </c:pt>
                <c:pt idx="9">
                  <c:v>-3.1541511974766623E-2</c:v>
                </c:pt>
                <c:pt idx="10">
                  <c:v>3.1664028771237751E-2</c:v>
                </c:pt>
                <c:pt idx="11">
                  <c:v>0.2089345553205825</c:v>
                </c:pt>
                <c:pt idx="12">
                  <c:v>0.25840930056364325</c:v>
                </c:pt>
                <c:pt idx="13">
                  <c:v>0.17025763981026834</c:v>
                </c:pt>
                <c:pt idx="14">
                  <c:v>0.18318209889510406</c:v>
                </c:pt>
                <c:pt idx="15">
                  <c:v>8.3496383578880229E-2</c:v>
                </c:pt>
                <c:pt idx="16">
                  <c:v>-1.8811975423822219E-2</c:v>
                </c:pt>
                <c:pt idx="17">
                  <c:v>-3.4221670455307773E-3</c:v>
                </c:pt>
                <c:pt idx="18">
                  <c:v>-5.7814803984867748E-2</c:v>
                </c:pt>
                <c:pt idx="19">
                  <c:v>-8.6424966777665979E-2</c:v>
                </c:pt>
                <c:pt idx="20">
                  <c:v>4.0850612616416315E-2</c:v>
                </c:pt>
                <c:pt idx="21">
                  <c:v>0.16378851164489508</c:v>
                </c:pt>
                <c:pt idx="22">
                  <c:v>0.29673443768508995</c:v>
                </c:pt>
                <c:pt idx="23">
                  <c:v>0.48193041272102427</c:v>
                </c:pt>
                <c:pt idx="24">
                  <c:v>0.48798809935655268</c:v>
                </c:pt>
                <c:pt idx="25">
                  <c:v>0.40541841131771394</c:v>
                </c:pt>
                <c:pt idx="26">
                  <c:v>0.3143760693907367</c:v>
                </c:pt>
                <c:pt idx="27">
                  <c:v>0.18662929933305095</c:v>
                </c:pt>
                <c:pt idx="28">
                  <c:v>2.6308897919596858E-2</c:v>
                </c:pt>
                <c:pt idx="29">
                  <c:v>1.6145050384618997E-2</c:v>
                </c:pt>
                <c:pt idx="30">
                  <c:v>4.2201181031901918E-3</c:v>
                </c:pt>
                <c:pt idx="31">
                  <c:v>5.8473201630255676E-2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7C-4462-8FCA-8C3CB919043D}"/>
            </c:ext>
          </c:extLst>
        </c:ser>
        <c:ser>
          <c:idx val="2"/>
          <c:order val="2"/>
          <c:tx>
            <c:strRef>
              <c:f>INFLATION!$A$13</c:f>
              <c:strCache>
                <c:ptCount val="1"/>
                <c:pt idx="0">
                  <c:v>Energy 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INFLATION!$B$5:$AG$5</c:f>
              <c:strCache>
                <c:ptCount val="32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</c:strCache>
            </c:strRef>
          </c:cat>
          <c:val>
            <c:numRef>
              <c:f>INFLATION!$B$13:$AG$13</c:f>
              <c:numCache>
                <c:formatCode>0.0%</c:formatCode>
                <c:ptCount val="32"/>
                <c:pt idx="0">
                  <c:v>4.2524522751079687E-2</c:v>
                </c:pt>
                <c:pt idx="1">
                  <c:v>5.2483052347346661E-2</c:v>
                </c:pt>
                <c:pt idx="2">
                  <c:v>3.5495841448293541E-2</c:v>
                </c:pt>
                <c:pt idx="3">
                  <c:v>6.3343311796630442E-2</c:v>
                </c:pt>
                <c:pt idx="4">
                  <c:v>7.2813902351240703E-2</c:v>
                </c:pt>
                <c:pt idx="5">
                  <c:v>0.12672381581779715</c:v>
                </c:pt>
                <c:pt idx="6">
                  <c:v>0.10963392175996141</c:v>
                </c:pt>
                <c:pt idx="7">
                  <c:v>8.3422664871178817E-2</c:v>
                </c:pt>
                <c:pt idx="8">
                  <c:v>1.9936343699621384E-2</c:v>
                </c:pt>
                <c:pt idx="9">
                  <c:v>-4.0627452577450852E-2</c:v>
                </c:pt>
                <c:pt idx="10">
                  <c:v>-1.821427034549335E-2</c:v>
                </c:pt>
                <c:pt idx="11">
                  <c:v>5.7406487121972605E-3</c:v>
                </c:pt>
                <c:pt idx="12">
                  <c:v>9.17236888502444E-2</c:v>
                </c:pt>
                <c:pt idx="13">
                  <c:v>0.11137660491611749</c:v>
                </c:pt>
                <c:pt idx="14">
                  <c:v>5.2475827917090635E-2</c:v>
                </c:pt>
                <c:pt idx="15">
                  <c:v>5.7333253638226278E-2</c:v>
                </c:pt>
                <c:pt idx="16">
                  <c:v>1.2724732045762003E-2</c:v>
                </c:pt>
                <c:pt idx="17">
                  <c:v>-1.4587928024259345E-2</c:v>
                </c:pt>
                <c:pt idx="18">
                  <c:v>3.8872896453478432E-2</c:v>
                </c:pt>
                <c:pt idx="19">
                  <c:v>3.4226775409608022E-2</c:v>
                </c:pt>
                <c:pt idx="20">
                  <c:v>0.10840701906563233</c:v>
                </c:pt>
                <c:pt idx="21">
                  <c:v>0.18710241255922733</c:v>
                </c:pt>
                <c:pt idx="22">
                  <c:v>0.18889503100635796</c:v>
                </c:pt>
                <c:pt idx="23">
                  <c:v>0.21250142606056924</c:v>
                </c:pt>
                <c:pt idx="24">
                  <c:v>0.13644985524273601</c:v>
                </c:pt>
                <c:pt idx="25">
                  <c:v>5.0616823657400799E-2</c:v>
                </c:pt>
                <c:pt idx="26">
                  <c:v>3.3790938643753009E-2</c:v>
                </c:pt>
                <c:pt idx="27">
                  <c:v>2.2684632795945941E-2</c:v>
                </c:pt>
                <c:pt idx="28">
                  <c:v>2.7344781705941495E-2</c:v>
                </c:pt>
                <c:pt idx="29">
                  <c:v>4.4946803953719083E-2</c:v>
                </c:pt>
                <c:pt idx="30">
                  <c:v>4.9886901316238554E-2</c:v>
                </c:pt>
                <c:pt idx="31">
                  <c:v>1.1790715782266536E-2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17C-4462-8FCA-8C3CB919043D}"/>
            </c:ext>
          </c:extLst>
        </c:ser>
        <c:ser>
          <c:idx val="3"/>
          <c:order val="3"/>
          <c:tx>
            <c:strRef>
              <c:f>INFLATION!$A$14</c:f>
              <c:strCache>
                <c:ptCount val="1"/>
                <c:pt idx="0">
                  <c:v>CPI</c:v>
                </c:pt>
              </c:strCache>
            </c:strRef>
          </c:tx>
          <c:spPr>
            <a:ln w="25400" cap="rnd">
              <a:solidFill>
                <a:srgbClr val="12D9EE"/>
              </a:solidFill>
              <a:round/>
            </a:ln>
            <a:effectLst/>
          </c:spPr>
          <c:marker>
            <c:symbol val="none"/>
          </c:marker>
          <c:cat>
            <c:strRef>
              <c:f>INFLATION!$B$5:$AG$5</c:f>
              <c:strCache>
                <c:ptCount val="32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</c:strCache>
            </c:strRef>
          </c:cat>
          <c:val>
            <c:numRef>
              <c:f>INFLATION!$B$14:$AG$14</c:f>
              <c:numCache>
                <c:formatCode>0.0%</c:formatCode>
                <c:ptCount val="32"/>
                <c:pt idx="0">
                  <c:v>7.7421799428263174E-2</c:v>
                </c:pt>
                <c:pt idx="1">
                  <c:v>6.1868699621904666E-2</c:v>
                </c:pt>
                <c:pt idx="2">
                  <c:v>3.4797328889464373E-2</c:v>
                </c:pt>
                <c:pt idx="3">
                  <c:v>2.1656076121462437E-2</c:v>
                </c:pt>
                <c:pt idx="4">
                  <c:v>9.4956715699301419E-3</c:v>
                </c:pt>
                <c:pt idx="5">
                  <c:v>2.5396693131338004E-2</c:v>
                </c:pt>
                <c:pt idx="6">
                  <c:v>1.7766952039612132E-2</c:v>
                </c:pt>
                <c:pt idx="7">
                  <c:v>2.0613837701337623E-3</c:v>
                </c:pt>
                <c:pt idx="8">
                  <c:v>9.5955624441343233E-3</c:v>
                </c:pt>
                <c:pt idx="9">
                  <c:v>3.5891501416330427E-3</c:v>
                </c:pt>
                <c:pt idx="10">
                  <c:v>2.4255507183730041E-2</c:v>
                </c:pt>
                <c:pt idx="11">
                  <c:v>5.9878779715926221E-2</c:v>
                </c:pt>
                <c:pt idx="12">
                  <c:v>8.1820021213462921E-2</c:v>
                </c:pt>
                <c:pt idx="13">
                  <c:v>8.7457068278631159E-2</c:v>
                </c:pt>
                <c:pt idx="14">
                  <c:v>8.9757976982825102E-2</c:v>
                </c:pt>
                <c:pt idx="15">
                  <c:v>5.0642488102273488E-2</c:v>
                </c:pt>
                <c:pt idx="16">
                  <c:v>2.119173786884998E-2</c:v>
                </c:pt>
                <c:pt idx="17">
                  <c:v>6.8571736328387018E-3</c:v>
                </c:pt>
                <c:pt idx="18">
                  <c:v>-6.3165534341882807E-3</c:v>
                </c:pt>
                <c:pt idx="19">
                  <c:v>1.1643896460931039E-2</c:v>
                </c:pt>
                <c:pt idx="20">
                  <c:v>5.8825376961593401E-2</c:v>
                </c:pt>
                <c:pt idx="21">
                  <c:v>0.12054700431455349</c:v>
                </c:pt>
                <c:pt idx="22">
                  <c:v>0.16364902582496188</c:v>
                </c:pt>
                <c:pt idx="23">
                  <c:v>0.21135564000172499</c:v>
                </c:pt>
                <c:pt idx="24">
                  <c:v>0.20242019892731525</c:v>
                </c:pt>
                <c:pt idx="25">
                  <c:v>0.15199526359323046</c:v>
                </c:pt>
                <c:pt idx="26">
                  <c:v>0.12681163660151609</c:v>
                </c:pt>
                <c:pt idx="27">
                  <c:v>8.9271464134402567E-2</c:v>
                </c:pt>
                <c:pt idx="28">
                  <c:v>4.6910352244296627E-2</c:v>
                </c:pt>
                <c:pt idx="29">
                  <c:v>5.1242936886985856E-2</c:v>
                </c:pt>
                <c:pt idx="30">
                  <c:v>4.1050426406323837E-2</c:v>
                </c:pt>
                <c:pt idx="31">
                  <c:v>5.1728811253456186E-2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17C-4462-8FCA-8C3CB9190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461296"/>
        <c:axId val="2021445456"/>
      </c:lineChart>
      <c:catAx>
        <c:axId val="20214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45456"/>
        <c:crosses val="autoZero"/>
        <c:auto val="1"/>
        <c:lblAlgn val="ctr"/>
        <c:lblOffset val="100"/>
        <c:noMultiLvlLbl val="0"/>
      </c:catAx>
      <c:valAx>
        <c:axId val="202144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6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237596</xdr:colOff>
      <xdr:row>13</xdr:row>
      <xdr:rowOff>1587</xdr:rowOff>
    </xdr:from>
    <xdr:to>
      <xdr:col>27</xdr:col>
      <xdr:colOff>1</xdr:colOff>
      <xdr:row>30</xdr:row>
      <xdr:rowOff>103717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87AB1-E795-652C-028C-EFE20246D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412221</xdr:colOff>
      <xdr:row>12</xdr:row>
      <xdr:rowOff>112713</xdr:rowOff>
    </xdr:from>
    <xdr:to>
      <xdr:col>35</xdr:col>
      <xdr:colOff>95250</xdr:colOff>
      <xdr:row>27</xdr:row>
      <xdr:rowOff>77788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07E410-83BE-CA9C-1B76-F5AA46A60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119061</xdr:colOff>
      <xdr:row>10</xdr:row>
      <xdr:rowOff>38629</xdr:rowOff>
    </xdr:from>
    <xdr:to>
      <xdr:col>17</xdr:col>
      <xdr:colOff>227540</xdr:colOff>
      <xdr:row>27</xdr:row>
      <xdr:rowOff>179917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7F329C-363C-EC39-0F47-992D3CE8A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591039</xdr:colOff>
      <xdr:row>17</xdr:row>
      <xdr:rowOff>22141</xdr:rowOff>
    </xdr:from>
    <xdr:to>
      <xdr:col>8</xdr:col>
      <xdr:colOff>109090</xdr:colOff>
      <xdr:row>33</xdr:row>
      <xdr:rowOff>129440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40F3D-0D4B-C30F-BC73-41A3B9CF4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274759</xdr:colOff>
      <xdr:row>16</xdr:row>
      <xdr:rowOff>97449</xdr:rowOff>
    </xdr:from>
    <xdr:to>
      <xdr:col>16</xdr:col>
      <xdr:colOff>366346</xdr:colOff>
      <xdr:row>31</xdr:row>
      <xdr:rowOff>99403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F1ECD6-5F11-9778-B37E-992FCB3FB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in\SharedFolder\Macro1\Modeling&amp;Tools\QMFM\WS%206%20Sept-Nov%202024\WS%20Nov%202024\data\Rwametric_2023-11-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rterly data (2)"/>
      <sheetName val="ToC data doc"/>
      <sheetName val="monthly data"/>
      <sheetName val="Quarterly data"/>
      <sheetName val="Sheet1"/>
      <sheetName val="Dataset"/>
    </sheetNames>
    <sheetDataSet>
      <sheetData sheetId="0"/>
      <sheetData sheetId="1"/>
      <sheetData sheetId="2"/>
      <sheetData sheetId="3">
        <row r="20">
          <cell r="CM20">
            <v>53.191375933245496</v>
          </cell>
          <cell r="CN20">
            <v>49.663256258234519</v>
          </cell>
          <cell r="CO20">
            <v>50.343225212790422</v>
          </cell>
          <cell r="CP20">
            <v>58.712722462722461</v>
          </cell>
          <cell r="CQ20">
            <v>64.743637900746592</v>
          </cell>
          <cell r="CR20">
            <v>71.646128364389227</v>
          </cell>
          <cell r="CS20">
            <v>73.302795564339036</v>
          </cell>
          <cell r="CT20">
            <v>64.437560909300032</v>
          </cell>
          <cell r="CU20">
            <v>60.702674028065324</v>
          </cell>
          <cell r="CV20">
            <v>64.985770092226616</v>
          </cell>
          <cell r="CW20">
            <v>59.739888951628075</v>
          </cell>
          <cell r="CX20">
            <v>60.301003199698862</v>
          </cell>
          <cell r="CY20">
            <v>49.096131971892845</v>
          </cell>
          <cell r="CZ20">
            <v>31.451851851851853</v>
          </cell>
          <cell r="DA20">
            <v>42.312498692933481</v>
          </cell>
          <cell r="DB20">
            <v>44.201507622811981</v>
          </cell>
          <cell r="DC20">
            <v>59.648475385323216</v>
          </cell>
          <cell r="DD20">
            <v>67.350889850889857</v>
          </cell>
          <cell r="DE20">
            <v>71.707373737373743</v>
          </cell>
          <cell r="DF20">
            <v>78.293173766652032</v>
          </cell>
          <cell r="DG20">
            <v>95.353100989187951</v>
          </cell>
          <cell r="DH20">
            <v>109.42356661856661</v>
          </cell>
          <cell r="DI20">
            <v>95.474347616956308</v>
          </cell>
          <cell r="DJ20">
            <v>85.197222222222209</v>
          </cell>
          <cell r="DK20">
            <v>78.928421169999993</v>
          </cell>
          <cell r="DL20">
            <v>71.79878977766667</v>
          </cell>
          <cell r="DM20">
            <v>71.304694111333347</v>
          </cell>
          <cell r="DN20">
            <v>70.486951777666661</v>
          </cell>
          <cell r="DO20">
            <v>69.738506666666666</v>
          </cell>
          <cell r="DP20">
            <v>69.144704777999991</v>
          </cell>
          <cell r="DQ20">
            <v>68.602961666666673</v>
          </cell>
          <cell r="DR20">
            <v>68.11509555566667</v>
          </cell>
        </row>
        <row r="21">
          <cell r="CM21">
            <v>105.66491780230403</v>
          </cell>
          <cell r="CN21">
            <v>104.18019263568927</v>
          </cell>
          <cell r="CO21">
            <v>103.26469350516949</v>
          </cell>
          <cell r="CP21">
            <v>102.07482731066466</v>
          </cell>
          <cell r="CQ21">
            <v>106.20547173500381</v>
          </cell>
          <cell r="CR21">
            <v>106.38717471672406</v>
          </cell>
          <cell r="CS21">
            <v>99.106055385458362</v>
          </cell>
          <cell r="CT21">
            <v>98.322176292885729</v>
          </cell>
          <cell r="CU21">
            <v>99.100618809295042</v>
          </cell>
          <cell r="CV21">
            <v>99.958777255170261</v>
          </cell>
          <cell r="CW21">
            <v>98.195153827483963</v>
          </cell>
          <cell r="CX21">
            <v>100.22630907721391</v>
          </cell>
          <cell r="CY21">
            <v>101.23800705475234</v>
          </cell>
          <cell r="CZ21">
            <v>96.418667769612412</v>
          </cell>
          <cell r="DA21">
            <v>98.75361685039455</v>
          </cell>
          <cell r="DB21">
            <v>107.75171562003165</v>
          </cell>
          <cell r="DC21">
            <v>119.35447482233076</v>
          </cell>
          <cell r="DD21">
            <v>130.84595372815252</v>
          </cell>
          <cell r="DE21">
            <v>129.15136972773527</v>
          </cell>
          <cell r="DF21">
            <v>130.37441801660452</v>
          </cell>
          <cell r="DG21">
            <v>148.21870172401776</v>
          </cell>
          <cell r="DH21">
            <v>157.86857663307293</v>
          </cell>
          <cell r="DI21">
            <v>138.19466160642446</v>
          </cell>
          <cell r="DJ21">
            <v>137.16454759068799</v>
          </cell>
          <cell r="DK21">
            <v>139.94520121293718</v>
          </cell>
          <cell r="DL21">
            <v>139.45780085877524</v>
          </cell>
          <cell r="DM21">
            <v>135.85201193758127</v>
          </cell>
          <cell r="DN21">
            <v>133.76843642103495</v>
          </cell>
          <cell r="DO21">
            <v>134.41241068859227</v>
          </cell>
          <cell r="DP21">
            <v>135.18798976530698</v>
          </cell>
          <cell r="DQ21">
            <v>132.22032451131375</v>
          </cell>
          <cell r="DR21">
            <v>131.63485208836786</v>
          </cell>
        </row>
        <row r="34">
          <cell r="CM34">
            <v>0.6</v>
          </cell>
          <cell r="CN34">
            <v>0.90333333333333299</v>
          </cell>
          <cell r="CO34">
            <v>1.05666666666667</v>
          </cell>
          <cell r="CP34">
            <v>1.2266666666666699</v>
          </cell>
          <cell r="CQ34">
            <v>1.5833333333333299</v>
          </cell>
          <cell r="CR34">
            <v>1.87666666666667</v>
          </cell>
          <cell r="CS34">
            <v>2.0766666666666702</v>
          </cell>
          <cell r="CT34">
            <v>2.35666666666667</v>
          </cell>
          <cell r="CU34">
            <v>2.4366666666666701</v>
          </cell>
          <cell r="CV34">
            <v>2.35</v>
          </cell>
          <cell r="CW34">
            <v>2.0233333333333299</v>
          </cell>
          <cell r="CX34">
            <v>1.60666666666667</v>
          </cell>
          <cell r="CY34">
            <v>1.1299999999999999</v>
          </cell>
          <cell r="CZ34">
            <v>0.14333333333333301</v>
          </cell>
          <cell r="DA34">
            <v>0.11333333333333299</v>
          </cell>
          <cell r="DB34">
            <v>9.3333333333333296E-2</v>
          </cell>
          <cell r="DC34">
            <v>0.05</v>
          </cell>
          <cell r="DD34">
            <v>2.66666666666667E-2</v>
          </cell>
          <cell r="DE34">
            <v>4.6666666666666697E-2</v>
          </cell>
          <cell r="DF34">
            <v>5.3333333333333302E-2</v>
          </cell>
          <cell r="DG34">
            <v>0.30333333333333301</v>
          </cell>
          <cell r="DH34">
            <v>1.09666666666667</v>
          </cell>
          <cell r="DI34">
            <v>2.7466666666666701</v>
          </cell>
          <cell r="DJ34">
            <v>4.18333333333333</v>
          </cell>
          <cell r="DK34">
            <v>4.875</v>
          </cell>
          <cell r="DL34">
            <v>5.2</v>
          </cell>
          <cell r="DM34">
            <v>5.2249999999999996</v>
          </cell>
          <cell r="DN34">
            <v>5.125</v>
          </cell>
          <cell r="DO34">
            <v>5.0416666666666696</v>
          </cell>
          <cell r="DP34">
            <v>4.5</v>
          </cell>
          <cell r="DQ34">
            <v>4.1666666666666696</v>
          </cell>
          <cell r="DR34">
            <v>4.125</v>
          </cell>
        </row>
        <row r="42">
          <cell r="CM42">
            <v>2.5779268855295117E-2</v>
          </cell>
          <cell r="CN42">
            <v>2.7195147283300837E-2</v>
          </cell>
          <cell r="CO42">
            <v>2.861298004181758E-2</v>
          </cell>
          <cell r="CP42">
            <v>3.0032769828399287E-2</v>
          </cell>
          <cell r="CQ42">
            <v>3.4890199781705156E-2</v>
          </cell>
          <cell r="CR42">
            <v>3.403282964572249E-2</v>
          </cell>
          <cell r="CS42">
            <v>3.3176169810746142E-2</v>
          </cell>
          <cell r="CT42">
            <v>3.2320219688316068E-2</v>
          </cell>
          <cell r="CU42">
            <v>4.881331181204749E-2</v>
          </cell>
          <cell r="CV42">
            <v>3.6382172384986596E-2</v>
          </cell>
          <cell r="CW42">
            <v>2.4098373982028617E-2</v>
          </cell>
          <cell r="CX42">
            <v>1.1960170232495878E-2</v>
          </cell>
          <cell r="CY42">
            <v>-4.3724710643719751E-2</v>
          </cell>
          <cell r="CZ42">
            <v>-2.6455378640311132E-2</v>
          </cell>
          <cell r="DA42">
            <v>-8.8741805548620475E-3</v>
          </cell>
          <cell r="DB42">
            <v>9.0245155880347219E-3</v>
          </cell>
          <cell r="DC42">
            <v>5.2650777588698808E-2</v>
          </cell>
          <cell r="DD42">
            <v>5.4315640264562391E-2</v>
          </cell>
          <cell r="DE42">
            <v>5.5983136071744349E-2</v>
          </cell>
          <cell r="DF42">
            <v>5.7653269174779788E-2</v>
          </cell>
          <cell r="DG42">
            <v>6.9327492466056864E-2</v>
          </cell>
          <cell r="DH42">
            <v>6.4420163779318459E-2</v>
          </cell>
          <cell r="DI42">
            <v>5.9535355672111635E-2</v>
          </cell>
          <cell r="DJ42">
            <v>5.4672964793605082E-2</v>
          </cell>
          <cell r="DK42">
            <v>4.0718403304020025E-2</v>
          </cell>
          <cell r="DL42">
            <v>4.1858812356417925E-2</v>
          </cell>
          <cell r="DM42">
            <v>4.3000471057907413E-2</v>
          </cell>
          <cell r="DN42">
            <v>4.4143380777841246E-2</v>
          </cell>
          <cell r="DO42">
            <v>4.5808778368921638E-2</v>
          </cell>
          <cell r="DP42">
            <v>4.6590532322949588E-2</v>
          </cell>
          <cell r="DQ42">
            <v>4.7372870646947375E-2</v>
          </cell>
          <cell r="DR42">
            <v>4.8155793777738619E-2</v>
          </cell>
        </row>
        <row r="45">
          <cell r="CM45">
            <v>-5.0710458955006785E-3</v>
          </cell>
          <cell r="CN45">
            <v>-5.1398458416268469E-3</v>
          </cell>
          <cell r="CO45">
            <v>4.1552500382877951E-2</v>
          </cell>
          <cell r="CP45">
            <v>7.1035879472285859E-2</v>
          </cell>
          <cell r="CQ45">
            <v>0.12030407647837105</v>
          </cell>
          <cell r="CR45">
            <v>6.6154508620760166E-2</v>
          </cell>
          <cell r="CS45">
            <v>4.3524719388562273E-3</v>
          </cell>
          <cell r="CT45">
            <v>-7.9705540530830826E-3</v>
          </cell>
          <cell r="CU45">
            <v>-4.095797909027224E-2</v>
          </cell>
          <cell r="CV45">
            <v>-2.6788567315255262E-2</v>
          </cell>
          <cell r="CW45">
            <v>-1.4934110827158372E-2</v>
          </cell>
          <cell r="CX45">
            <v>-4.6078955224732451E-3</v>
          </cell>
          <cell r="CY45">
            <v>-1.8206510856555645E-2</v>
          </cell>
          <cell r="CZ45">
            <v>-7.5999677463718385E-3</v>
          </cell>
          <cell r="DA45">
            <v>4.7473683476621502E-2</v>
          </cell>
          <cell r="DB45">
            <v>7.289810290860109E-2</v>
          </cell>
          <cell r="DC45">
            <v>7.9570541052873756E-2</v>
          </cell>
          <cell r="DD45">
            <v>9.1764748417418274E-2</v>
          </cell>
          <cell r="DE45">
            <v>3.8856087180610836E-2</v>
          </cell>
          <cell r="DF45">
            <v>1.2421537026773115E-2</v>
          </cell>
          <cell r="DG45">
            <v>2.6956841646369155E-2</v>
          </cell>
          <cell r="DH45">
            <v>-2.2130646413859936E-2</v>
          </cell>
          <cell r="DI45">
            <v>-5.0710760500137064E-2</v>
          </cell>
          <cell r="DJ45">
            <v>-3.6411021956021507E-2</v>
          </cell>
          <cell r="DK45">
            <v>5.1245573580088024E-3</v>
          </cell>
          <cell r="DL45">
            <v>5.5798876760650859E-2</v>
          </cell>
          <cell r="DM45">
            <v>0.10029694036062979</v>
          </cell>
          <cell r="DN45">
            <v>9.1553781114550592E-2</v>
          </cell>
          <cell r="DO45">
            <v>4.5202744246323964E-2</v>
          </cell>
          <cell r="DP45">
            <v>3.7353670623207012E-2</v>
          </cell>
          <cell r="DQ45">
            <v>3.1875615052165233E-2</v>
          </cell>
          <cell r="DR45">
            <v>3.3953433954818563E-2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69A5-106E-4F7C-825F-24959F74E218}">
  <dimension ref="A2:AH9"/>
  <sheetViews>
    <sheetView tabSelected="1" topLeftCell="K1" zoomScale="110" zoomScaleNormal="110" workbookViewId="0">
      <selection activeCell="T25" sqref="T25"/>
    </sheetView>
  </sheetViews>
  <sheetFormatPr defaultRowHeight="14.5" x14ac:dyDescent="0.35"/>
  <cols>
    <col min="1" max="1" width="58.1796875" customWidth="1"/>
    <col min="2" max="2" width="48.7265625" customWidth="1"/>
  </cols>
  <sheetData>
    <row r="2" spans="1:34" x14ac:dyDescent="0.35">
      <c r="B2" t="s">
        <v>2</v>
      </c>
    </row>
    <row r="4" spans="1:34" x14ac:dyDescent="0.35"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</row>
    <row r="5" spans="1:34" x14ac:dyDescent="0.35">
      <c r="B5" t="s">
        <v>0</v>
      </c>
      <c r="C5" s="1">
        <f>'[1]Quarterly data'!CM$42</f>
        <v>2.5779268855295117E-2</v>
      </c>
      <c r="D5" s="1">
        <f>'[1]Quarterly data'!CN$42</f>
        <v>2.7195147283300837E-2</v>
      </c>
      <c r="E5" s="1">
        <f>'[1]Quarterly data'!CO$42</f>
        <v>2.861298004181758E-2</v>
      </c>
      <c r="F5" s="1">
        <f>'[1]Quarterly data'!CP$42</f>
        <v>3.0032769828399287E-2</v>
      </c>
      <c r="G5" s="1">
        <f>'[1]Quarterly data'!CQ$42</f>
        <v>3.4890199781705156E-2</v>
      </c>
      <c r="H5" s="1">
        <f>'[1]Quarterly data'!CR$42</f>
        <v>3.403282964572249E-2</v>
      </c>
      <c r="I5" s="1">
        <f>'[1]Quarterly data'!CS$42</f>
        <v>3.3176169810746142E-2</v>
      </c>
      <c r="J5" s="1">
        <f>'[1]Quarterly data'!CT$42</f>
        <v>3.2320219688316068E-2</v>
      </c>
      <c r="K5" s="1">
        <f>'[1]Quarterly data'!CU$42</f>
        <v>4.881331181204749E-2</v>
      </c>
      <c r="L5" s="1">
        <f>'[1]Quarterly data'!CV$42</f>
        <v>3.6382172384986596E-2</v>
      </c>
      <c r="M5" s="1">
        <f>'[1]Quarterly data'!CW$42</f>
        <v>2.4098373982028617E-2</v>
      </c>
      <c r="N5" s="1">
        <f>'[1]Quarterly data'!CX$42</f>
        <v>1.1960170232495878E-2</v>
      </c>
      <c r="O5" s="1">
        <f>'[1]Quarterly data'!CY$42</f>
        <v>-4.3724710643719751E-2</v>
      </c>
      <c r="P5" s="1">
        <f>'[1]Quarterly data'!CZ$42</f>
        <v>-2.6455378640311132E-2</v>
      </c>
      <c r="Q5" s="1">
        <f>'[1]Quarterly data'!DA$42</f>
        <v>-8.8741805548620475E-3</v>
      </c>
      <c r="R5" s="1">
        <f>'[1]Quarterly data'!DB$42</f>
        <v>9.0245155880347219E-3</v>
      </c>
      <c r="S5" s="1">
        <f>'[1]Quarterly data'!DC$42</f>
        <v>5.2650777588698808E-2</v>
      </c>
      <c r="T5" s="1">
        <f>'[1]Quarterly data'!DD$42</f>
        <v>5.4315640264562391E-2</v>
      </c>
      <c r="U5" s="1">
        <f>'[1]Quarterly data'!DE$42</f>
        <v>5.5983136071744349E-2</v>
      </c>
      <c r="V5" s="1">
        <f>'[1]Quarterly data'!DF$42</f>
        <v>5.7653269174779788E-2</v>
      </c>
      <c r="W5" s="1">
        <f>'[1]Quarterly data'!DG$42</f>
        <v>6.9327492466056864E-2</v>
      </c>
      <c r="X5" s="1">
        <f>'[1]Quarterly data'!DH$42</f>
        <v>6.4420163779318459E-2</v>
      </c>
      <c r="Y5" s="1">
        <f>'[1]Quarterly data'!DI$42</f>
        <v>5.9535355672111635E-2</v>
      </c>
      <c r="Z5" s="1">
        <f>'[1]Quarterly data'!DJ$42</f>
        <v>5.4672964793605082E-2</v>
      </c>
      <c r="AA5" s="1">
        <f>'[1]Quarterly data'!DK$42</f>
        <v>4.0718403304020025E-2</v>
      </c>
      <c r="AB5" s="1">
        <f>'[1]Quarterly data'!DL$42</f>
        <v>4.1858812356417925E-2</v>
      </c>
      <c r="AC5" s="1">
        <f>'[1]Quarterly data'!DM$42</f>
        <v>4.3000471057907413E-2</v>
      </c>
      <c r="AD5" s="1">
        <f>'[1]Quarterly data'!DN$42</f>
        <v>4.4143380777841246E-2</v>
      </c>
      <c r="AE5" s="1">
        <f>'[1]Quarterly data'!DO$42</f>
        <v>4.5808778368921638E-2</v>
      </c>
      <c r="AF5" s="1">
        <f>'[1]Quarterly data'!DP$42</f>
        <v>4.6590532322949588E-2</v>
      </c>
      <c r="AG5" s="1">
        <f>'[1]Quarterly data'!DQ$42</f>
        <v>4.7372870646947375E-2</v>
      </c>
      <c r="AH5" s="1">
        <f>'[1]Quarterly data'!DR$42</f>
        <v>4.8155793777738619E-2</v>
      </c>
    </row>
    <row r="6" spans="1:34" x14ac:dyDescent="0.35">
      <c r="B6" t="s">
        <v>1</v>
      </c>
      <c r="C6" s="1">
        <f>('[1]Quarterly data'!CM$34)/100</f>
        <v>6.0000000000000001E-3</v>
      </c>
      <c r="D6" s="1">
        <f>('[1]Quarterly data'!CN$34)/100</f>
        <v>9.0333333333333307E-3</v>
      </c>
      <c r="E6" s="1">
        <f>('[1]Quarterly data'!CO$34)/100</f>
        <v>1.05666666666667E-2</v>
      </c>
      <c r="F6" s="1">
        <f>('[1]Quarterly data'!CP$34)/100</f>
        <v>1.2266666666666698E-2</v>
      </c>
      <c r="G6" s="1">
        <f>('[1]Quarterly data'!CQ$34)/100</f>
        <v>1.58333333333333E-2</v>
      </c>
      <c r="H6" s="1">
        <f>('[1]Quarterly data'!CR$34)/100</f>
        <v>1.8766666666666699E-2</v>
      </c>
      <c r="I6" s="1">
        <f>('[1]Quarterly data'!CS$34)/100</f>
        <v>2.0766666666666701E-2</v>
      </c>
      <c r="J6" s="1">
        <f>('[1]Quarterly data'!CT$34)/100</f>
        <v>2.3566666666666701E-2</v>
      </c>
      <c r="K6" s="1">
        <f>('[1]Quarterly data'!CU$34)/100</f>
        <v>2.43666666666667E-2</v>
      </c>
      <c r="L6" s="1">
        <f>('[1]Quarterly data'!CV$34)/100</f>
        <v>2.35E-2</v>
      </c>
      <c r="M6" s="1">
        <f>('[1]Quarterly data'!CW$34)/100</f>
        <v>2.0233333333333298E-2</v>
      </c>
      <c r="N6" s="1">
        <f>('[1]Quarterly data'!CX$34)/100</f>
        <v>1.6066666666666701E-2</v>
      </c>
      <c r="O6" s="1">
        <f>('[1]Quarterly data'!CY$34)/100</f>
        <v>1.1299999999999999E-2</v>
      </c>
      <c r="P6" s="1">
        <f>('[1]Quarterly data'!CZ$34)/100</f>
        <v>1.4333333333333301E-3</v>
      </c>
      <c r="Q6" s="1">
        <f>('[1]Quarterly data'!DA$34)/100</f>
        <v>1.1333333333333299E-3</v>
      </c>
      <c r="R6" s="1">
        <f>('[1]Quarterly data'!DB$34)/100</f>
        <v>9.33333333333333E-4</v>
      </c>
      <c r="S6" s="1">
        <f>('[1]Quarterly data'!DC$34)/100</f>
        <v>5.0000000000000001E-4</v>
      </c>
      <c r="T6" s="1">
        <f>('[1]Quarterly data'!DD$34)/100</f>
        <v>2.66666666666667E-4</v>
      </c>
      <c r="U6" s="1">
        <f>('[1]Quarterly data'!DE$34)/100</f>
        <v>4.6666666666666699E-4</v>
      </c>
      <c r="V6" s="1">
        <f>('[1]Quarterly data'!DF$34)/100</f>
        <v>5.3333333333333303E-4</v>
      </c>
      <c r="W6" s="1">
        <f>('[1]Quarterly data'!DG$34)/100</f>
        <v>3.0333333333333302E-3</v>
      </c>
      <c r="X6" s="1">
        <f>('[1]Quarterly data'!DH$34)/100</f>
        <v>1.0966666666666701E-2</v>
      </c>
      <c r="Y6" s="1">
        <f>('[1]Quarterly data'!DI$34)/100</f>
        <v>2.7466666666666702E-2</v>
      </c>
      <c r="Z6" s="1">
        <f>('[1]Quarterly data'!DJ$34)/100</f>
        <v>4.1833333333333299E-2</v>
      </c>
      <c r="AA6" s="1">
        <f>('[1]Quarterly data'!DK$34)/100</f>
        <v>4.8750000000000002E-2</v>
      </c>
      <c r="AB6" s="1">
        <f>('[1]Quarterly data'!DL$34)/100</f>
        <v>5.2000000000000005E-2</v>
      </c>
      <c r="AC6" s="1">
        <f>('[1]Quarterly data'!DM$34)/100</f>
        <v>5.2249999999999998E-2</v>
      </c>
      <c r="AD6" s="1">
        <f>('[1]Quarterly data'!DN$34)/100</f>
        <v>5.1249999999999997E-2</v>
      </c>
      <c r="AE6" s="1">
        <f>('[1]Quarterly data'!DO$34)/100</f>
        <v>5.0416666666666693E-2</v>
      </c>
      <c r="AF6" s="1">
        <f>('[1]Quarterly data'!DP$34)/100</f>
        <v>4.4999999999999998E-2</v>
      </c>
      <c r="AG6" s="1">
        <f>('[1]Quarterly data'!DQ$34)/100</f>
        <v>4.1666666666666699E-2</v>
      </c>
      <c r="AH6" s="1">
        <f>('[1]Quarterly data'!DR$34)/100</f>
        <v>4.1250000000000002E-2</v>
      </c>
    </row>
    <row r="7" spans="1:34" ht="17" customHeight="1" x14ac:dyDescent="0.35">
      <c r="A7" t="s">
        <v>35</v>
      </c>
      <c r="B7" t="s">
        <v>39</v>
      </c>
      <c r="C7" s="1">
        <f>'[1]Quarterly data'!CM$45</f>
        <v>-5.0710458955006785E-3</v>
      </c>
      <c r="D7" s="1">
        <f>'[1]Quarterly data'!CN$45</f>
        <v>-5.1398458416268469E-3</v>
      </c>
      <c r="E7" s="1">
        <f>'[1]Quarterly data'!CO$45</f>
        <v>4.1552500382877951E-2</v>
      </c>
      <c r="F7" s="1">
        <f>'[1]Quarterly data'!CP$45</f>
        <v>7.1035879472285859E-2</v>
      </c>
      <c r="G7" s="1">
        <f>'[1]Quarterly data'!CQ$45</f>
        <v>0.12030407647837105</v>
      </c>
      <c r="H7" s="1">
        <f>'[1]Quarterly data'!CR$45</f>
        <v>6.6154508620760166E-2</v>
      </c>
      <c r="I7" s="1">
        <f>'[1]Quarterly data'!CS$45</f>
        <v>4.3524719388562273E-3</v>
      </c>
      <c r="J7" s="1">
        <f>'[1]Quarterly data'!CT$45</f>
        <v>-7.9705540530830826E-3</v>
      </c>
      <c r="K7" s="1">
        <f>'[1]Quarterly data'!CU$45</f>
        <v>-4.095797909027224E-2</v>
      </c>
      <c r="L7" s="1">
        <f>'[1]Quarterly data'!CV$45</f>
        <v>-2.6788567315255262E-2</v>
      </c>
      <c r="M7" s="1">
        <f>'[1]Quarterly data'!CW$45</f>
        <v>-1.4934110827158372E-2</v>
      </c>
      <c r="N7" s="1">
        <f>'[1]Quarterly data'!CX$45</f>
        <v>-4.6078955224732451E-3</v>
      </c>
      <c r="O7" s="1">
        <f>'[1]Quarterly data'!CY$45</f>
        <v>-1.8206510856555645E-2</v>
      </c>
      <c r="P7" s="1">
        <f>'[1]Quarterly data'!CZ$45</f>
        <v>-7.5999677463718385E-3</v>
      </c>
      <c r="Q7" s="1">
        <f>'[1]Quarterly data'!DA$45</f>
        <v>4.7473683476621502E-2</v>
      </c>
      <c r="R7" s="1">
        <f>'[1]Quarterly data'!DB$45</f>
        <v>7.289810290860109E-2</v>
      </c>
      <c r="S7" s="1">
        <f>'[1]Quarterly data'!DC$45</f>
        <v>7.9570541052873756E-2</v>
      </c>
      <c r="T7" s="1">
        <f>'[1]Quarterly data'!DD$45</f>
        <v>9.1764748417418274E-2</v>
      </c>
      <c r="U7" s="1">
        <f>'[1]Quarterly data'!DE$45</f>
        <v>3.8856087180610836E-2</v>
      </c>
      <c r="V7" s="1">
        <f>'[1]Quarterly data'!DF$45</f>
        <v>1.2421537026773115E-2</v>
      </c>
      <c r="W7" s="1">
        <f>'[1]Quarterly data'!DG$45</f>
        <v>2.6956841646369155E-2</v>
      </c>
      <c r="X7" s="1">
        <f>'[1]Quarterly data'!DH$45</f>
        <v>-2.2130646413859936E-2</v>
      </c>
      <c r="Y7" s="1">
        <f>'[1]Quarterly data'!DI$45</f>
        <v>-5.0710760500137064E-2</v>
      </c>
      <c r="Z7" s="1">
        <f>'[1]Quarterly data'!DJ$45</f>
        <v>-3.6411021956021507E-2</v>
      </c>
      <c r="AA7" s="1">
        <f>'[1]Quarterly data'!DK$45</f>
        <v>5.1245573580088024E-3</v>
      </c>
      <c r="AB7" s="1">
        <f>'[1]Quarterly data'!DL$45</f>
        <v>5.5798876760650859E-2</v>
      </c>
      <c r="AC7" s="1">
        <f>'[1]Quarterly data'!DM$45</f>
        <v>0.10029694036062979</v>
      </c>
      <c r="AD7" s="1">
        <f>'[1]Quarterly data'!DN$45</f>
        <v>9.1553781114550592E-2</v>
      </c>
      <c r="AE7" s="1">
        <f>'[1]Quarterly data'!DO$45</f>
        <v>4.5202744246323964E-2</v>
      </c>
      <c r="AF7" s="1">
        <f>'[1]Quarterly data'!DP$45</f>
        <v>3.7353670623207012E-2</v>
      </c>
      <c r="AG7" s="1">
        <f>'[1]Quarterly data'!DQ$45</f>
        <v>3.1875615052165233E-2</v>
      </c>
      <c r="AH7" s="1">
        <f>'[1]Quarterly data'!DR$45</f>
        <v>3.3953433954818563E-2</v>
      </c>
    </row>
    <row r="8" spans="1:34" x14ac:dyDescent="0.35">
      <c r="B8" t="s">
        <v>38</v>
      </c>
      <c r="C8" s="2">
        <f>'[1]Quarterly data'!CM$21</f>
        <v>105.66491780230403</v>
      </c>
      <c r="D8" s="2">
        <f>'[1]Quarterly data'!CN$21</f>
        <v>104.18019263568927</v>
      </c>
      <c r="E8" s="2">
        <f>'[1]Quarterly data'!CO$21</f>
        <v>103.26469350516949</v>
      </c>
      <c r="F8" s="2">
        <f>'[1]Quarterly data'!CP$21</f>
        <v>102.07482731066466</v>
      </c>
      <c r="G8" s="2">
        <f>'[1]Quarterly data'!CQ$21</f>
        <v>106.20547173500381</v>
      </c>
      <c r="H8" s="2">
        <f>'[1]Quarterly data'!CR$21</f>
        <v>106.38717471672406</v>
      </c>
      <c r="I8" s="2">
        <f>'[1]Quarterly data'!CS$21</f>
        <v>99.106055385458362</v>
      </c>
      <c r="J8" s="2">
        <f>'[1]Quarterly data'!CT$21</f>
        <v>98.322176292885729</v>
      </c>
      <c r="K8" s="2">
        <f>'[1]Quarterly data'!CU$21</f>
        <v>99.100618809295042</v>
      </c>
      <c r="L8" s="2">
        <f>'[1]Quarterly data'!CV$21</f>
        <v>99.958777255170261</v>
      </c>
      <c r="M8" s="2">
        <f>'[1]Quarterly data'!CW$21</f>
        <v>98.195153827483963</v>
      </c>
      <c r="N8" s="2">
        <f>'[1]Quarterly data'!CX$21</f>
        <v>100.22630907721391</v>
      </c>
      <c r="O8" s="2">
        <f>'[1]Quarterly data'!CY$21</f>
        <v>101.23800705475234</v>
      </c>
      <c r="P8" s="2">
        <f>'[1]Quarterly data'!CZ$21</f>
        <v>96.418667769612412</v>
      </c>
      <c r="Q8" s="2">
        <f>'[1]Quarterly data'!DA$21</f>
        <v>98.75361685039455</v>
      </c>
      <c r="R8" s="2">
        <f>'[1]Quarterly data'!DB$21</f>
        <v>107.75171562003165</v>
      </c>
      <c r="S8" s="2">
        <f>'[1]Quarterly data'!DC$21</f>
        <v>119.35447482233076</v>
      </c>
      <c r="T8" s="2">
        <f>'[1]Quarterly data'!DD$21</f>
        <v>130.84595372815252</v>
      </c>
      <c r="U8" s="2">
        <f>'[1]Quarterly data'!DE$21</f>
        <v>129.15136972773527</v>
      </c>
      <c r="V8" s="2">
        <f>'[1]Quarterly data'!DF$21</f>
        <v>130.37441801660452</v>
      </c>
      <c r="W8" s="2">
        <f>'[1]Quarterly data'!DG$21</f>
        <v>148.21870172401776</v>
      </c>
      <c r="X8" s="2">
        <f>'[1]Quarterly data'!DH$21</f>
        <v>157.86857663307293</v>
      </c>
      <c r="Y8" s="2">
        <f>'[1]Quarterly data'!DI$21</f>
        <v>138.19466160642446</v>
      </c>
      <c r="Z8" s="2">
        <f>'[1]Quarterly data'!DJ$21</f>
        <v>137.16454759068799</v>
      </c>
      <c r="AA8" s="2">
        <f>'[1]Quarterly data'!DK$21</f>
        <v>139.94520121293718</v>
      </c>
      <c r="AB8" s="2">
        <f>'[1]Quarterly data'!DL$21</f>
        <v>139.45780085877524</v>
      </c>
      <c r="AC8" s="2">
        <f>'[1]Quarterly data'!DM$21</f>
        <v>135.85201193758127</v>
      </c>
      <c r="AD8" s="2">
        <f>'[1]Quarterly data'!DN$21</f>
        <v>133.76843642103495</v>
      </c>
      <c r="AE8" s="2">
        <f>'[1]Quarterly data'!DO$21</f>
        <v>134.41241068859227</v>
      </c>
      <c r="AF8" s="2">
        <f>'[1]Quarterly data'!DP$21</f>
        <v>135.18798976530698</v>
      </c>
      <c r="AG8" s="2">
        <f>'[1]Quarterly data'!DQ$21</f>
        <v>132.22032451131375</v>
      </c>
      <c r="AH8" s="2">
        <f>'[1]Quarterly data'!DR$21</f>
        <v>131.63485208836786</v>
      </c>
    </row>
    <row r="9" spans="1:34" x14ac:dyDescent="0.35">
      <c r="B9" t="s">
        <v>37</v>
      </c>
      <c r="C9" s="2">
        <f>'[1]Quarterly data'!CM$20</f>
        <v>53.191375933245496</v>
      </c>
      <c r="D9" s="2">
        <f>'[1]Quarterly data'!CN$20</f>
        <v>49.663256258234519</v>
      </c>
      <c r="E9" s="2">
        <f>'[1]Quarterly data'!CO$20</f>
        <v>50.343225212790422</v>
      </c>
      <c r="F9" s="2">
        <f>'[1]Quarterly data'!CP$20</f>
        <v>58.712722462722461</v>
      </c>
      <c r="G9" s="2">
        <f>'[1]Quarterly data'!CQ$20</f>
        <v>64.743637900746592</v>
      </c>
      <c r="H9" s="2">
        <f>'[1]Quarterly data'!CR$20</f>
        <v>71.646128364389227</v>
      </c>
      <c r="I9" s="2">
        <f>'[1]Quarterly data'!CS$20</f>
        <v>73.302795564339036</v>
      </c>
      <c r="J9" s="2">
        <f>'[1]Quarterly data'!CT$20</f>
        <v>64.437560909300032</v>
      </c>
      <c r="K9" s="2">
        <f>'[1]Quarterly data'!CU$20</f>
        <v>60.702674028065324</v>
      </c>
      <c r="L9" s="2">
        <f>'[1]Quarterly data'!CV$20</f>
        <v>64.985770092226616</v>
      </c>
      <c r="M9" s="2">
        <f>'[1]Quarterly data'!CW$20</f>
        <v>59.739888951628075</v>
      </c>
      <c r="N9" s="2">
        <f>'[1]Quarterly data'!CX$20</f>
        <v>60.301003199698862</v>
      </c>
      <c r="O9" s="2">
        <f>'[1]Quarterly data'!CY$20</f>
        <v>49.096131971892845</v>
      </c>
      <c r="P9" s="2">
        <f>'[1]Quarterly data'!CZ$20</f>
        <v>31.451851851851853</v>
      </c>
      <c r="Q9" s="2">
        <f>'[1]Quarterly data'!DA$20</f>
        <v>42.312498692933481</v>
      </c>
      <c r="R9" s="2">
        <f>'[1]Quarterly data'!DB$20</f>
        <v>44.201507622811981</v>
      </c>
      <c r="S9" s="2">
        <f>'[1]Quarterly data'!DC$20</f>
        <v>59.648475385323216</v>
      </c>
      <c r="T9" s="2">
        <f>'[1]Quarterly data'!DD$20</f>
        <v>67.350889850889857</v>
      </c>
      <c r="U9" s="2">
        <f>'[1]Quarterly data'!DE$20</f>
        <v>71.707373737373743</v>
      </c>
      <c r="V9" s="2">
        <f>'[1]Quarterly data'!DF$20</f>
        <v>78.293173766652032</v>
      </c>
      <c r="W9" s="2">
        <f>'[1]Quarterly data'!DG$20</f>
        <v>95.353100989187951</v>
      </c>
      <c r="X9" s="2">
        <f>'[1]Quarterly data'!DH$20</f>
        <v>109.42356661856661</v>
      </c>
      <c r="Y9" s="2">
        <f>'[1]Quarterly data'!DI$20</f>
        <v>95.474347616956308</v>
      </c>
      <c r="Z9" s="2">
        <f>'[1]Quarterly data'!DJ$20</f>
        <v>85.197222222222209</v>
      </c>
      <c r="AA9" s="2">
        <f>'[1]Quarterly data'!DK$20</f>
        <v>78.928421169999993</v>
      </c>
      <c r="AB9" s="2">
        <f>'[1]Quarterly data'!DL$20</f>
        <v>71.79878977766667</v>
      </c>
      <c r="AC9" s="2">
        <f>'[1]Quarterly data'!DM$20</f>
        <v>71.304694111333347</v>
      </c>
      <c r="AD9" s="2">
        <f>'[1]Quarterly data'!DN$20</f>
        <v>70.486951777666661</v>
      </c>
      <c r="AE9" s="2">
        <f>'[1]Quarterly data'!DO$20</f>
        <v>69.738506666666666</v>
      </c>
      <c r="AF9" s="2">
        <f>'[1]Quarterly data'!DP$20</f>
        <v>69.144704777999991</v>
      </c>
      <c r="AG9" s="2">
        <f>'[1]Quarterly data'!DQ$20</f>
        <v>68.602961666666673</v>
      </c>
      <c r="AH9" s="2">
        <f>'[1]Quarterly data'!DR$20</f>
        <v>68.11509555566667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6AE9-61EA-4156-A7C6-6E3B20A9E098}">
  <dimension ref="A3:AH17"/>
  <sheetViews>
    <sheetView zoomScale="130" zoomScaleNormal="130" workbookViewId="0">
      <selection activeCell="P38" sqref="P38"/>
    </sheetView>
  </sheetViews>
  <sheetFormatPr defaultRowHeight="14.5" x14ac:dyDescent="0.35"/>
  <cols>
    <col min="1" max="1" width="12" customWidth="1"/>
    <col min="10" max="10" width="9.36328125" bestFit="1" customWidth="1"/>
    <col min="31" max="31" width="9.36328125" bestFit="1" customWidth="1"/>
  </cols>
  <sheetData>
    <row r="3" spans="1:34" x14ac:dyDescent="0.35">
      <c r="F3" s="5" t="s">
        <v>36</v>
      </c>
    </row>
    <row r="5" spans="1:34" x14ac:dyDescent="0.3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</row>
    <row r="6" spans="1:34" x14ac:dyDescent="0.35">
      <c r="A6" t="s">
        <v>36</v>
      </c>
      <c r="B6" s="2">
        <v>113.5198383513525</v>
      </c>
      <c r="C6" s="2">
        <v>114.37468981146931</v>
      </c>
      <c r="D6" s="2">
        <v>114.20406985093587</v>
      </c>
      <c r="E6" s="2">
        <v>115.11432504336199</v>
      </c>
      <c r="F6" s="2">
        <v>114.59628222051175</v>
      </c>
      <c r="G6" s="2">
        <v>117.27792444599999</v>
      </c>
      <c r="H6" s="2">
        <v>116.23063514615683</v>
      </c>
      <c r="I6" s="2">
        <v>115.34353302789231</v>
      </c>
      <c r="J6" s="2">
        <v>115.69621376066327</v>
      </c>
      <c r="K6" s="2">
        <v>117.69777140290451</v>
      </c>
      <c r="L6" s="2">
        <v>119.05116171878278</v>
      </c>
      <c r="M6" s="2">
        <v>122.24635218827986</v>
      </c>
      <c r="N6" s="2">
        <v>125.16496240504375</v>
      </c>
      <c r="O6" s="2">
        <v>127.99379119397479</v>
      </c>
      <c r="P6" s="2">
        <v>129.73576410881324</v>
      </c>
      <c r="Q6" s="2">
        <v>128.42239047720275</v>
      </c>
      <c r="R6" s="2">
        <v>127.81270377573735</v>
      </c>
      <c r="S6" s="2">
        <v>128.85809924018801</v>
      </c>
      <c r="T6" s="2">
        <v>128.91445740317386</v>
      </c>
      <c r="U6" s="2">
        <v>129.91297789155544</v>
      </c>
      <c r="V6" s="2">
        <v>135.34349992016891</v>
      </c>
      <c r="W6" s="2">
        <v>144.3857609489265</v>
      </c>
      <c r="X6" s="2">
        <v>150.01536855259664</v>
      </c>
      <c r="Y6" s="2">
        <v>157.3683555290647</v>
      </c>
      <c r="Z6" s="2">
        <v>162.72298868059943</v>
      </c>
      <c r="AA6" s="2">
        <v>166.30511423015028</v>
      </c>
      <c r="AB6" s="2">
        <v>169.04460832802263</v>
      </c>
      <c r="AC6" s="2">
        <v>173.28202293291761</v>
      </c>
      <c r="AD6" s="2">
        <v>170.34877761547895</v>
      </c>
      <c r="AE6" s="2">
        <v>174.81962230491658</v>
      </c>
      <c r="AF6" s="2">
        <v>175.95804858095846</v>
      </c>
      <c r="AG6" s="2">
        <v>180.24297372112537</v>
      </c>
    </row>
    <row r="7" spans="1:34" x14ac:dyDescent="0.35">
      <c r="A7" t="s">
        <v>40</v>
      </c>
      <c r="B7" s="2">
        <v>130.19551595528262</v>
      </c>
      <c r="C7" s="2">
        <v>129.65557858673188</v>
      </c>
      <c r="D7" s="2">
        <v>128.80331057769919</v>
      </c>
      <c r="E7" s="2">
        <v>131.01387099835631</v>
      </c>
      <c r="F7" s="2">
        <v>124.35470888673228</v>
      </c>
      <c r="G7" s="2">
        <v>132.23449718457377</v>
      </c>
      <c r="H7" s="2">
        <v>128.10181479820645</v>
      </c>
      <c r="I7" s="2">
        <v>120.87250659089726</v>
      </c>
      <c r="J7" s="2">
        <v>121.32927051791096</v>
      </c>
      <c r="K7" s="2">
        <v>128.05876379480355</v>
      </c>
      <c r="L7" s="2">
        <v>132.18686711999933</v>
      </c>
      <c r="M7" s="2">
        <v>146.02281890995206</v>
      </c>
      <c r="N7" s="2">
        <v>152.6948643249716</v>
      </c>
      <c r="O7" s="2">
        <v>149.82549541250148</v>
      </c>
      <c r="P7" s="2">
        <v>156.3583125988595</v>
      </c>
      <c r="Q7" s="2">
        <v>158.05465880796291</v>
      </c>
      <c r="R7" s="2">
        <v>149.76855254266374</v>
      </c>
      <c r="S7" s="2">
        <v>149.32940457202687</v>
      </c>
      <c r="T7" s="2">
        <v>147.24837510809519</v>
      </c>
      <c r="U7" s="2">
        <v>144.39984366736411</v>
      </c>
      <c r="V7" s="2">
        <v>155.89028458977052</v>
      </c>
      <c r="W7" s="2">
        <v>173.59597286520753</v>
      </c>
      <c r="X7" s="2">
        <v>190.98545459332874</v>
      </c>
      <c r="Y7" s="2">
        <v>213.82254558363286</v>
      </c>
      <c r="Z7" s="2">
        <v>232.10641613757682</v>
      </c>
      <c r="AA7" s="2">
        <v>243.77157197063283</v>
      </c>
      <c r="AB7" s="2">
        <v>251.28007886951937</v>
      </c>
      <c r="AC7" s="2">
        <v>253.84253286609601</v>
      </c>
      <c r="AD7" s="2">
        <v>237.98010194220396</v>
      </c>
      <c r="AE7" s="2">
        <v>247.58577074876564</v>
      </c>
      <c r="AF7" s="2">
        <v>251.81239026995709</v>
      </c>
      <c r="AG7" s="2">
        <v>268.00738304490801</v>
      </c>
    </row>
    <row r="8" spans="1:34" x14ac:dyDescent="0.35">
      <c r="A8" t="s">
        <v>41</v>
      </c>
      <c r="B8" s="2">
        <v>110.20848792105016</v>
      </c>
      <c r="C8" s="2">
        <v>111.07432475205816</v>
      </c>
      <c r="D8" s="2">
        <v>111.14268080896484</v>
      </c>
      <c r="E8" s="2">
        <v>111.68852882551927</v>
      </c>
      <c r="F8" s="2">
        <v>112.07777550813796</v>
      </c>
      <c r="G8" s="2">
        <v>113.07297076330069</v>
      </c>
      <c r="H8" s="2">
        <v>112.82507411349705</v>
      </c>
      <c r="I8" s="2">
        <v>113.21014054513363</v>
      </c>
      <c r="J8" s="2">
        <v>113.90608188941938</v>
      </c>
      <c r="K8" s="2">
        <v>114.91122351633352</v>
      </c>
      <c r="L8" s="2">
        <v>115.82592706222816</v>
      </c>
      <c r="M8" s="2">
        <v>116.94120718070515</v>
      </c>
      <c r="N8" s="2">
        <v>118.7842185076682</v>
      </c>
      <c r="O8" s="2">
        <v>122.57080589365438</v>
      </c>
      <c r="P8" s="2">
        <v>124.12217087104757</v>
      </c>
      <c r="Q8" s="2">
        <v>121.84093919618401</v>
      </c>
      <c r="R8" s="2">
        <v>122.64271471445072</v>
      </c>
      <c r="S8" s="2">
        <v>123.96793854574405</v>
      </c>
      <c r="T8" s="2">
        <v>124.47800318739557</v>
      </c>
      <c r="U8" s="2">
        <v>126.12677245175581</v>
      </c>
      <c r="V8" s="2">
        <v>129.83837197143237</v>
      </c>
      <c r="W8" s="2">
        <v>136.87801777592816</v>
      </c>
      <c r="X8" s="2">
        <v>140.58529718042965</v>
      </c>
      <c r="Y8" s="2">
        <v>144.89292359617778</v>
      </c>
      <c r="Z8" s="2">
        <v>147.93067264878835</v>
      </c>
      <c r="AA8" s="2">
        <v>150.16492141443476</v>
      </c>
      <c r="AB8" s="2">
        <v>152.41212052661123</v>
      </c>
      <c r="AC8" s="2">
        <v>154.53816162816176</v>
      </c>
      <c r="AD8" s="2">
        <v>156.15770608940178</v>
      </c>
      <c r="AE8" s="2">
        <v>159.69797493443983</v>
      </c>
      <c r="AF8" s="2">
        <v>160.53952787261537</v>
      </c>
      <c r="AG8" s="2">
        <v>162.94123411695162</v>
      </c>
    </row>
    <row r="9" spans="1:34" x14ac:dyDescent="0.35">
      <c r="A9" t="s">
        <v>42</v>
      </c>
      <c r="B9" s="2">
        <v>108.08012150151741</v>
      </c>
      <c r="C9" s="2">
        <v>111.56074341389144</v>
      </c>
      <c r="D9" s="2">
        <v>110.5855581197394</v>
      </c>
      <c r="E9" s="2">
        <v>112.60598694464933</v>
      </c>
      <c r="F9" s="2">
        <v>115.92966460718519</v>
      </c>
      <c r="G9" s="2">
        <v>125.69890019625454</v>
      </c>
      <c r="H9" s="2">
        <v>122.71207924144271</v>
      </c>
      <c r="I9" s="2">
        <v>121.99976757143811</v>
      </c>
      <c r="J9" s="2">
        <v>118.19867051112566</v>
      </c>
      <c r="K9" s="2">
        <v>120.56163063983848</v>
      </c>
      <c r="L9" s="2">
        <v>120.45951142762642</v>
      </c>
      <c r="M9" s="2">
        <v>122.66946276134581</v>
      </c>
      <c r="N9" s="2">
        <v>129.03807584986052</v>
      </c>
      <c r="O9" s="2">
        <v>133.97142264606262</v>
      </c>
      <c r="P9" s="2">
        <v>126.78663497663347</v>
      </c>
      <c r="Q9" s="2">
        <v>129.6843615122846</v>
      </c>
      <c r="R9" s="2">
        <v>130.63824132118054</v>
      </c>
      <c r="S9" s="2">
        <v>131.87457303678474</v>
      </c>
      <c r="T9" s="2">
        <v>131.68983446664106</v>
      </c>
      <c r="U9" s="2">
        <v>134.10651941325099</v>
      </c>
      <c r="V9" s="2">
        <v>144.87166106629323</v>
      </c>
      <c r="W9" s="2">
        <v>156.54130299012601</v>
      </c>
      <c r="X9" s="2">
        <v>156.56776342088918</v>
      </c>
      <c r="Y9" s="2">
        <v>162.59528155143195</v>
      </c>
      <c r="Z9" s="2">
        <v>164.30892409229151</v>
      </c>
      <c r="AA9" s="2">
        <v>164.46045459001036</v>
      </c>
      <c r="AB9" s="2">
        <v>161.85415359622746</v>
      </c>
      <c r="AC9" s="2">
        <v>166.28727525122528</v>
      </c>
      <c r="AD9" s="2">
        <v>168.8107394218969</v>
      </c>
      <c r="AE9" s="2">
        <v>171.8536801118029</v>
      </c>
      <c r="AF9" s="2">
        <v>169.90703189672342</v>
      </c>
      <c r="AG9" s="2">
        <v>168.21872116472969</v>
      </c>
    </row>
    <row r="10" spans="1:34" x14ac:dyDescent="0.35">
      <c r="A10" t="s">
        <v>43</v>
      </c>
    </row>
    <row r="11" spans="1:34" x14ac:dyDescent="0.35">
      <c r="A11" t="s">
        <v>46</v>
      </c>
      <c r="B11" s="1">
        <v>5.4968032943358759E-2</v>
      </c>
      <c r="C11" s="1">
        <v>4.5984891791154135E-2</v>
      </c>
      <c r="D11" s="1">
        <v>3.1447030734740679E-2</v>
      </c>
      <c r="E11" s="1">
        <v>2.5143211598469328E-2</v>
      </c>
      <c r="F11" s="1">
        <v>1.6964635630031772E-2</v>
      </c>
      <c r="G11" s="1">
        <v>1.7997678437070341E-2</v>
      </c>
      <c r="H11" s="1">
        <v>1.5138100931745724E-2</v>
      </c>
      <c r="I11" s="1">
        <v>1.3623390708456565E-2</v>
      </c>
      <c r="J11" s="1">
        <v>1.6311466444983862E-2</v>
      </c>
      <c r="K11" s="1">
        <v>1.6258902854680974E-2</v>
      </c>
      <c r="L11" s="1">
        <v>2.6597818316190791E-2</v>
      </c>
      <c r="M11" s="1">
        <v>3.2953190020601784E-2</v>
      </c>
      <c r="N11" s="1">
        <v>4.2823968637851172E-2</v>
      </c>
      <c r="O11" s="1">
        <v>6.6621164584083889E-2</v>
      </c>
      <c r="P11" s="1">
        <v>7.162754144467505E-2</v>
      </c>
      <c r="Q11" s="1">
        <v>4.1927804995162278E-2</v>
      </c>
      <c r="R11" s="1">
        <v>3.2485202591970803E-2</v>
      </c>
      <c r="S11" s="1">
        <v>1.1651983943363309E-2</v>
      </c>
      <c r="T11" s="1">
        <v>2.8676645144497526E-3</v>
      </c>
      <c r="U11" s="1">
        <v>3.5192402681253419E-2</v>
      </c>
      <c r="V11" s="1">
        <v>5.8627877818139273E-2</v>
      </c>
      <c r="W11" s="1">
        <v>0.10412567392892957</v>
      </c>
      <c r="X11" s="1">
        <v>0.12939028639356573</v>
      </c>
      <c r="Y11" s="1">
        <v>0.14877323599969694</v>
      </c>
      <c r="Z11" s="1">
        <v>0.13954129908858715</v>
      </c>
      <c r="AA11" s="1">
        <v>9.7184657384882689E-2</v>
      </c>
      <c r="AB11" s="1">
        <v>8.413025001690122E-2</v>
      </c>
      <c r="AC11" s="1">
        <v>6.6618732313654824E-2</v>
      </c>
      <c r="AD11" s="1">
        <v>5.560573985814421E-2</v>
      </c>
      <c r="AE11" s="1">
        <v>6.3491401880510764E-2</v>
      </c>
      <c r="AF11" s="1">
        <v>5.3337539187386117E-2</v>
      </c>
      <c r="AG11" s="1">
        <v>5.4373948511425706E-2</v>
      </c>
    </row>
    <row r="12" spans="1:34" x14ac:dyDescent="0.35">
      <c r="A12" t="s">
        <v>44</v>
      </c>
      <c r="B12" s="1">
        <v>0.18402601997513846</v>
      </c>
      <c r="C12" s="1">
        <v>0.12764189373458126</v>
      </c>
      <c r="D12" s="1">
        <v>4.5530238624625907E-2</v>
      </c>
      <c r="E12" s="1">
        <v>-5.812987977158901E-3</v>
      </c>
      <c r="F12" s="1">
        <v>-4.4853374713211124E-2</v>
      </c>
      <c r="G12" s="1">
        <v>2.0647318066311482E-2</v>
      </c>
      <c r="H12" s="1">
        <v>-4.6486683230128056E-3</v>
      </c>
      <c r="I12" s="1">
        <v>-7.5215652896104032E-2</v>
      </c>
      <c r="J12" s="1">
        <v>-2.4433204720028967E-2</v>
      </c>
      <c r="K12" s="1">
        <v>-3.1541511974766623E-2</v>
      </c>
      <c r="L12" s="1">
        <v>3.1664028771237751E-2</v>
      </c>
      <c r="M12" s="1">
        <v>0.2089345553205825</v>
      </c>
      <c r="N12" s="1">
        <v>0.25840930056364325</v>
      </c>
      <c r="O12" s="1">
        <v>0.17025763981026834</v>
      </c>
      <c r="P12" s="1">
        <v>0.18318209889510406</v>
      </c>
      <c r="Q12" s="1">
        <v>8.3496383578880229E-2</v>
      </c>
      <c r="R12" s="1">
        <v>-1.8811975423822219E-2</v>
      </c>
      <c r="S12" s="1">
        <v>-3.4221670455307773E-3</v>
      </c>
      <c r="T12" s="1">
        <v>-5.7814803984867748E-2</v>
      </c>
      <c r="U12" s="1">
        <v>-8.6424966777665979E-2</v>
      </c>
      <c r="V12" s="1">
        <v>4.0850612616416315E-2</v>
      </c>
      <c r="W12" s="1">
        <v>0.16378851164489508</v>
      </c>
      <c r="X12" s="1">
        <v>0.29673443768508995</v>
      </c>
      <c r="Y12" s="1">
        <v>0.48193041272102427</v>
      </c>
      <c r="Z12" s="1">
        <v>0.48798809935655268</v>
      </c>
      <c r="AA12" s="1">
        <v>0.40541841131771394</v>
      </c>
      <c r="AB12" s="1">
        <v>0.3143760693907367</v>
      </c>
      <c r="AC12" s="1">
        <v>0.18662929933305095</v>
      </c>
      <c r="AD12" s="1">
        <v>2.6308897919596858E-2</v>
      </c>
      <c r="AE12" s="1">
        <v>1.6145050384618997E-2</v>
      </c>
      <c r="AF12" s="1">
        <v>4.2201181031901918E-3</v>
      </c>
      <c r="AG12" s="1">
        <v>5.8473201630255676E-2</v>
      </c>
    </row>
    <row r="13" spans="1:34" x14ac:dyDescent="0.35">
      <c r="A13" t="s">
        <v>45</v>
      </c>
      <c r="B13" s="1">
        <v>4.2524522751079687E-2</v>
      </c>
      <c r="C13" s="1">
        <v>5.2483052347346661E-2</v>
      </c>
      <c r="D13" s="1">
        <v>3.5495841448293541E-2</v>
      </c>
      <c r="E13" s="1">
        <v>6.3343311796630442E-2</v>
      </c>
      <c r="F13" s="1">
        <v>7.2813902351240703E-2</v>
      </c>
      <c r="G13" s="1">
        <v>0.12672381581779715</v>
      </c>
      <c r="H13" s="1">
        <v>0.10963392175996141</v>
      </c>
      <c r="I13" s="1">
        <v>8.3422664871178817E-2</v>
      </c>
      <c r="J13" s="1">
        <v>1.9936343699621384E-2</v>
      </c>
      <c r="K13" s="1">
        <v>-4.0627452577450852E-2</v>
      </c>
      <c r="L13" s="1">
        <v>-1.821427034549335E-2</v>
      </c>
      <c r="M13" s="1">
        <v>5.7406487121972605E-3</v>
      </c>
      <c r="N13" s="1">
        <v>9.17236888502444E-2</v>
      </c>
      <c r="O13" s="1">
        <v>0.11137660491611749</v>
      </c>
      <c r="P13" s="1">
        <v>5.2475827917090635E-2</v>
      </c>
      <c r="Q13" s="1">
        <v>5.7333253638226278E-2</v>
      </c>
      <c r="R13" s="1">
        <v>1.2724732045762003E-2</v>
      </c>
      <c r="S13" s="1">
        <v>-1.4587928024259345E-2</v>
      </c>
      <c r="T13" s="1">
        <v>3.8872896453478432E-2</v>
      </c>
      <c r="U13" s="1">
        <v>3.4226775409608022E-2</v>
      </c>
      <c r="V13" s="1">
        <v>0.10840701906563233</v>
      </c>
      <c r="W13" s="1">
        <v>0.18710241255922733</v>
      </c>
      <c r="X13" s="1">
        <v>0.18889503100635796</v>
      </c>
      <c r="Y13" s="1">
        <v>0.21250142606056924</v>
      </c>
      <c r="Z13" s="1">
        <v>0.13644985524273601</v>
      </c>
      <c r="AA13" s="1">
        <v>5.0616823657400799E-2</v>
      </c>
      <c r="AB13" s="1">
        <v>3.3790938643753009E-2</v>
      </c>
      <c r="AC13" s="1">
        <v>2.2684632795945941E-2</v>
      </c>
      <c r="AD13" s="1">
        <v>2.7344781705941495E-2</v>
      </c>
      <c r="AE13" s="1">
        <v>4.4946803953719083E-2</v>
      </c>
      <c r="AF13" s="1">
        <v>4.9886901316238554E-2</v>
      </c>
      <c r="AG13" s="1">
        <v>1.1790715782266536E-2</v>
      </c>
    </row>
    <row r="14" spans="1:34" x14ac:dyDescent="0.35">
      <c r="A14" t="s">
        <v>36</v>
      </c>
      <c r="B14" s="1">
        <v>7.7421799428263174E-2</v>
      </c>
      <c r="C14" s="1">
        <v>6.1868699621904666E-2</v>
      </c>
      <c r="D14" s="1">
        <v>3.4797328889464373E-2</v>
      </c>
      <c r="E14" s="1">
        <v>2.1656076121462437E-2</v>
      </c>
      <c r="F14" s="1">
        <v>9.4956715699301419E-3</v>
      </c>
      <c r="G14" s="1">
        <v>2.5396693131338004E-2</v>
      </c>
      <c r="H14" s="1">
        <v>1.7766952039612132E-2</v>
      </c>
      <c r="I14" s="1">
        <v>2.0613837701337623E-3</v>
      </c>
      <c r="J14" s="1">
        <v>9.5955624441343233E-3</v>
      </c>
      <c r="K14" s="1">
        <v>3.5891501416330427E-3</v>
      </c>
      <c r="L14" s="1">
        <v>2.4255507183730041E-2</v>
      </c>
      <c r="M14" s="1">
        <v>5.9878779715926221E-2</v>
      </c>
      <c r="N14" s="1">
        <v>8.1820021213462921E-2</v>
      </c>
      <c r="O14" s="1">
        <v>8.7457068278631159E-2</v>
      </c>
      <c r="P14" s="1">
        <v>8.9757976982825102E-2</v>
      </c>
      <c r="Q14" s="1">
        <v>5.0642488102273488E-2</v>
      </c>
      <c r="R14" s="1">
        <v>2.119173786884998E-2</v>
      </c>
      <c r="S14" s="1">
        <v>6.8571736328387018E-3</v>
      </c>
      <c r="T14" s="1">
        <v>-6.3165534341882807E-3</v>
      </c>
      <c r="U14" s="1">
        <v>1.1643896460931039E-2</v>
      </c>
      <c r="V14" s="1">
        <v>5.8825376961593401E-2</v>
      </c>
      <c r="W14" s="1">
        <v>0.12054700431455349</v>
      </c>
      <c r="X14" s="1">
        <v>0.16364902582496188</v>
      </c>
      <c r="Y14" s="1">
        <v>0.21135564000172499</v>
      </c>
      <c r="Z14" s="1">
        <v>0.20242019892731525</v>
      </c>
      <c r="AA14" s="1">
        <v>0.15199526359323046</v>
      </c>
      <c r="AB14" s="1">
        <v>0.12681163660151609</v>
      </c>
      <c r="AC14" s="1">
        <v>8.9271464134402567E-2</v>
      </c>
      <c r="AD14" s="1">
        <v>4.6910352244296627E-2</v>
      </c>
      <c r="AE14" s="1">
        <v>5.1242936886985856E-2</v>
      </c>
      <c r="AF14" s="1">
        <v>4.1050426406323837E-2</v>
      </c>
      <c r="AG14" s="1">
        <v>5.1728811253456186E-2</v>
      </c>
    </row>
    <row r="16" spans="1:34" x14ac:dyDescent="0.35">
      <c r="V16" s="1"/>
      <c r="W16" s="1"/>
      <c r="X16" s="1"/>
      <c r="AF16" s="4"/>
      <c r="AG16" s="4"/>
      <c r="AH16" s="4"/>
    </row>
    <row r="17" spans="23:23" x14ac:dyDescent="0.35">
      <c r="W17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Foreign Indicators</vt:lpstr>
      <vt:lpstr>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Musabyimana</dc:creator>
  <cp:lastModifiedBy>Chantal Musabyimana</cp:lastModifiedBy>
  <dcterms:created xsi:type="dcterms:W3CDTF">2025-02-18T13:32:27Z</dcterms:created>
  <dcterms:modified xsi:type="dcterms:W3CDTF">2025-09-15T13:16:18Z</dcterms:modified>
</cp:coreProperties>
</file>