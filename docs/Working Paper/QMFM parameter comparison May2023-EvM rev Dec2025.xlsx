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QMFM\docs\Working Paper\"/>
    </mc:Choice>
  </mc:AlternateContent>
  <xr:revisionPtr revIDLastSave="0" documentId="13_ncr:1_{7A6B4F14-1848-4CFF-B001-5B9CB50391F9}" xr6:coauthVersionLast="47" xr6:coauthVersionMax="47" xr10:uidLastSave="{00000000-0000-0000-0000-000000000000}"/>
  <bookViews>
    <workbookView xWindow="-90" yWindow="-90" windowWidth="19380" windowHeight="11460" activeTab="1" xr2:uid="{88228A9F-2F45-4AC0-AF82-DDE885F9A54D}"/>
  </bookViews>
  <sheets>
    <sheet name="Param" sheetId="2" r:id="rId1"/>
    <sheet name="WP" sheetId="1" r:id="rId2"/>
  </sheets>
  <definedNames>
    <definedName name="_xlnm.Print_Area" localSheetId="0">Param!$A$2:$J$237</definedName>
    <definedName name="_xlnm.Print_Area" localSheetId="1">WP!$B$1:$C$225</definedName>
    <definedName name="tab_param" localSheetId="0">Param!$A$2:$J$237</definedName>
    <definedName name="tab_param">WP!$B$1:$C$225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8" i="2" l="1"/>
  <c r="G208" i="2"/>
  <c r="F208" i="2"/>
  <c r="D208" i="2"/>
  <c r="H205" i="2"/>
  <c r="C203" i="2"/>
  <c r="B203" i="2"/>
  <c r="A185" i="2"/>
  <c r="H178" i="2"/>
  <c r="I161" i="2"/>
  <c r="H161" i="2"/>
  <c r="G161" i="2"/>
  <c r="F161" i="2"/>
  <c r="D161" i="2"/>
  <c r="C161" i="2"/>
  <c r="H157" i="2"/>
  <c r="H155" i="2"/>
  <c r="C150" i="2"/>
  <c r="B150" i="2"/>
  <c r="C135" i="2"/>
  <c r="A134" i="2"/>
  <c r="H133" i="2"/>
  <c r="G133" i="2"/>
  <c r="F133" i="2"/>
  <c r="I127" i="2"/>
  <c r="G119" i="2"/>
  <c r="F118" i="2"/>
  <c r="A117" i="2"/>
  <c r="D114" i="2"/>
  <c r="C114" i="2"/>
  <c r="H113" i="2"/>
  <c r="I112" i="2"/>
  <c r="F112" i="2"/>
  <c r="D108" i="2"/>
  <c r="A107" i="2"/>
  <c r="A105" i="2"/>
  <c r="I102" i="2"/>
  <c r="G102" i="2"/>
  <c r="C100" i="2"/>
  <c r="K99" i="2"/>
  <c r="A98" i="2"/>
  <c r="I97" i="2"/>
  <c r="G97" i="2"/>
  <c r="D97" i="2"/>
  <c r="F96" i="2"/>
  <c r="A96" i="2"/>
  <c r="I93" i="2"/>
  <c r="F93" i="2"/>
  <c r="F102" i="2" s="1"/>
  <c r="F101" i="2" s="1"/>
  <c r="D93" i="2"/>
  <c r="G92" i="2"/>
  <c r="G93" i="2" s="1"/>
  <c r="F92" i="2"/>
  <c r="J89" i="2"/>
  <c r="I89" i="2"/>
  <c r="E89" i="2"/>
  <c r="D89" i="2"/>
  <c r="A89" i="2"/>
  <c r="A106" i="2" s="1"/>
  <c r="K88" i="2"/>
  <c r="G88" i="2"/>
  <c r="F88" i="2"/>
  <c r="D88" i="2"/>
  <c r="A88" i="2"/>
  <c r="F87" i="2"/>
  <c r="E86" i="2"/>
  <c r="F81" i="2"/>
  <c r="F80" i="2"/>
  <c r="G78" i="2"/>
  <c r="D78" i="2"/>
  <c r="C78" i="2"/>
  <c r="A73" i="2"/>
  <c r="A72" i="2"/>
  <c r="K71" i="2"/>
  <c r="H71" i="2"/>
  <c r="G71" i="2"/>
  <c r="D71" i="2"/>
  <c r="E69" i="2"/>
  <c r="E68" i="2"/>
  <c r="F66" i="2"/>
  <c r="E65" i="2"/>
  <c r="K64" i="2"/>
  <c r="C64" i="2"/>
  <c r="F62" i="2"/>
  <c r="F61" i="2"/>
  <c r="A59" i="2"/>
  <c r="F58" i="2"/>
  <c r="E58" i="2"/>
  <c r="A58" i="2"/>
  <c r="A57" i="2"/>
  <c r="G56" i="2"/>
  <c r="C56" i="2"/>
  <c r="K56" i="2" s="1"/>
  <c r="E53" i="2"/>
  <c r="A53" i="2"/>
  <c r="A61" i="2" s="1"/>
  <c r="A52" i="2"/>
  <c r="A51" i="2"/>
  <c r="A50" i="2"/>
  <c r="E49" i="2"/>
  <c r="A49" i="2"/>
  <c r="A48" i="2"/>
  <c r="K47" i="2"/>
  <c r="G47" i="2"/>
  <c r="C47" i="2"/>
  <c r="F45" i="2"/>
  <c r="F40" i="2"/>
  <c r="E40" i="2"/>
  <c r="G38" i="2"/>
  <c r="C38" i="2"/>
  <c r="K38" i="2" s="1"/>
  <c r="G10" i="2"/>
  <c r="K6" i="2"/>
  <c r="C191" i="1"/>
  <c r="A97" i="2" l="1"/>
  <c r="B173" i="1" l="1"/>
  <c r="B122" i="1" l="1"/>
  <c r="B105" i="1"/>
  <c r="B95" i="1"/>
  <c r="B86" i="1"/>
  <c r="B77" i="1"/>
  <c r="B85" i="1" s="1"/>
  <c r="B76" i="1"/>
  <c r="B84" i="1" s="1"/>
  <c r="B56" i="1"/>
  <c r="B55" i="1"/>
  <c r="B54" i="1"/>
  <c r="B50" i="1"/>
  <c r="B58" i="1" s="1"/>
  <c r="B49" i="1"/>
  <c r="B48" i="1"/>
  <c r="B47" i="1"/>
  <c r="B46" i="1"/>
  <c r="B45" i="1"/>
  <c r="B94" i="1" l="1"/>
  <c r="B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</author>
  </authors>
  <commentList>
    <comment ref="F38" authorId="0" shapeId="0" xr:uid="{03AC9E1A-2423-4706-80AF-755330236EA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42" authorId="0" shapeId="0" xr:uid="{CD38146F-A0B3-4CEA-99C9-624AD8F19A5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period lag</t>
        </r>
      </text>
    </comment>
    <comment ref="F42" authorId="0" shapeId="0" xr:uid="{FC5DDC3E-DBEA-4701-8E0C-7210EF771714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also has 0.3*0.78 effect of remittances </t>
        </r>
      </text>
    </comment>
    <comment ref="E45" authorId="0" shapeId="0" xr:uid="{847D569C-DEE1-4529-96C6-B07C6158DDB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negative effect because of hhold forex debt</t>
        </r>
      </text>
    </comment>
    <comment ref="F47" authorId="0" shapeId="0" xr:uid="{498CC6CE-F16E-4BE0-B0FE-C9C24ABDF5F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53" authorId="0" shapeId="0" xr:uid="{646D358D-7642-44EF-9D9C-B97DDAA50F3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coeff Tobin (0.05) * coeff RIR in Tobin eq (0.2)</t>
        </r>
      </text>
    </comment>
    <comment ref="F60" authorId="0" shapeId="0" xr:uid="{A354A2EB-A550-47FB-96F6-EF1187C484DB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parameter a32, but switched with a33 in paper</t>
        </r>
      </text>
    </comment>
    <comment ref="F62" authorId="0" shapeId="0" xr:uid="{B479F79C-5D51-4C8B-9F9D-FBBE595B104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parameter a33, but switched with a32 in paper</t>
        </r>
      </text>
    </comment>
    <comment ref="E65" authorId="0" shapeId="0" xr:uid="{C4EF90EE-094C-492B-9710-710E65F3D77B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weight imports * elaxt of Mcons</t>
        </r>
      </text>
    </comment>
    <comment ref="F65" authorId="0" shapeId="0" xr:uid="{BBCCA4F2-D5E7-4E43-AE73-B5FD5BF47222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lag of imports</t>
        </r>
      </text>
    </comment>
    <comment ref="F66" authorId="0" shapeId="0" xr:uid="{2D10109D-D7FE-401D-923E-C7D82BD8E5CF}">
      <text>
        <r>
          <rPr>
            <sz val="9"/>
            <color indexed="81"/>
            <rFont val="Tahoma"/>
            <family val="2"/>
          </rPr>
          <t>expected imports</t>
        </r>
      </text>
    </comment>
    <comment ref="C72" authorId="0" shapeId="0" xr:uid="{AB447785-5DFE-4A5E-A912-39B2E187C154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non-agric output gap</t>
        </r>
      </text>
    </comment>
    <comment ref="D74" authorId="0" shapeId="0" xr:uid="{40ECDA38-9B16-459B-B1A3-1BC865895ADF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quarter lag</t>
        </r>
      </text>
    </comment>
    <comment ref="H76" authorId="0" shapeId="0" xr:uid="{1265D019-7523-49AB-B4FD-2A0F6C8EE98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one quarter lag</t>
        </r>
      </text>
    </comment>
    <comment ref="F81" authorId="0" shapeId="0" xr:uid="{4870B8FD-D089-4BF4-A578-94341AE133D9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E82" authorId="0" shapeId="0" xr:uid="{83B4D433-E5B8-42C8-88E7-893F1C85BCED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residual</t>
        </r>
      </text>
    </comment>
    <comment ref="F85" authorId="0" shapeId="0" xr:uid="{BE481432-659F-4C4C-8631-723E09CDBAA8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with investment</t>
        </r>
      </text>
    </comment>
    <comment ref="G87" authorId="0" shapeId="0" xr:uid="{DCC7EA79-5568-4D02-BD9F-7E735432EB27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services in separate eq.</t>
        </r>
      </text>
    </comment>
    <comment ref="E91" authorId="0" shapeId="0" xr:uid="{4A7BB1FE-F1E0-4666-8C68-F9883C668CDB}">
      <text>
        <r>
          <rPr>
            <sz val="9"/>
            <color indexed="81"/>
            <rFont val="Tahoma"/>
            <family val="2"/>
          </rPr>
          <t>ak: direct effect of oil price on market energy: coeff PMNC (0.01) * weight of foreign oil in PWNC 0.3</t>
        </r>
      </text>
    </comment>
    <comment ref="J91" authorId="0" shapeId="0" xr:uid="{E37B02B8-D671-411C-98E6-12D59E4A5A0D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ch in RER-RER(-1) not RERgap</t>
        </r>
      </text>
    </comment>
    <comment ref="C102" authorId="0" shapeId="0" xr:uid="{A029549D-24F5-4A25-9ABE-F1418C99A7A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0.3 rmc * 0.3 RER=0.09 RER effect on food inflation
</t>
        </r>
      </text>
    </comment>
    <comment ref="G104" authorId="0" shapeId="0" xr:uid="{E5CF89B7-240D-4357-9B69-773D1BF0640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electricity in separate eq.</t>
        </r>
      </text>
    </comment>
    <comment ref="C113" authorId="0" shapeId="0" xr:uid="{80324C0E-936C-4F10-95E9-A0BE983A15FA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incl. not only fresh food, but all food and beverages; why alcohol?</t>
        </r>
      </text>
    </comment>
    <comment ref="D113" authorId="0" shapeId="0" xr:uid="{485CF869-3384-45D7-9B1D-54F0B8F2131E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incl. not only fresh food, but all food and beverages</t>
        </r>
      </text>
    </comment>
    <comment ref="C118" authorId="0" shapeId="0" xr:uid="{C261C12F-4ECE-4AB4-93CD-3E28B65E3477}">
      <text>
        <r>
          <rPr>
            <sz val="9"/>
            <color indexed="81"/>
            <rFont val="Tahoma"/>
            <family val="2"/>
          </rPr>
          <t>multiplied by (1-c1), overall: 0.05</t>
        </r>
      </text>
    </comment>
    <comment ref="D118" authorId="0" shapeId="0" xr:uid="{6110A840-70F8-4F96-8645-0A9FACD109D2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E118" authorId="0" shapeId="0" xr:uid="{2E112F9C-7EA2-48AD-95F2-2FFBD0FF0762}">
      <text>
        <r>
          <rPr>
            <sz val="9"/>
            <color indexed="81"/>
            <rFont val="Tahoma"/>
            <family val="2"/>
          </rPr>
          <t>multiplied by (1-c1), overall: 0.15*3.4=0.51</t>
        </r>
      </text>
    </comment>
    <comment ref="F118" authorId="0" shapeId="0" xr:uid="{A171A6B4-08EF-423A-97D0-57D5A572753A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G118" authorId="0" shapeId="0" xr:uid="{C3D3C402-7919-4C21-8C33-BDC6AA895A61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H118" authorId="0" shapeId="0" xr:uid="{384FE71D-32B5-4BED-8336-58244EF38352}">
      <text>
        <r>
          <rPr>
            <sz val="9"/>
            <color indexed="81"/>
            <rFont val="Tahoma"/>
            <family val="2"/>
          </rPr>
          <t>multiplied by (1-c1), overall: 0.55*2.1=1.1</t>
        </r>
      </text>
    </comment>
    <comment ref="C119" authorId="0" shapeId="0" xr:uid="{2DF7DC62-8BE8-42F8-8114-D8EF95980AB3}">
      <text>
        <r>
          <rPr>
            <sz val="9"/>
            <color indexed="81"/>
            <rFont val="Tahoma"/>
            <family val="2"/>
          </rPr>
          <t xml:space="preserve">multiplied by (1-c1), overall: 0.04
</t>
        </r>
      </text>
    </comment>
    <comment ref="D119" authorId="0" shapeId="0" xr:uid="{CFA8B524-850C-4889-AA6F-DA7C41E0CDD1}">
      <text>
        <r>
          <rPr>
            <sz val="9"/>
            <color indexed="81"/>
            <rFont val="Tahoma"/>
            <family val="2"/>
          </rPr>
          <t xml:space="preserve">multiplied by (1-c1), overall: 0.55*0.9=0.5
</t>
        </r>
      </text>
    </comment>
    <comment ref="C122" authorId="0" shapeId="0" xr:uid="{80725690-62AE-42C5-A611-BD9D7101C6D1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premium IB interest rate over policy rate</t>
        </r>
      </text>
    </comment>
    <comment ref="B135" authorId="0" shapeId="0" xr:uid="{D7E0C1C8-CF46-4E01-BA2A-2681214CAC76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multiplied by (1-m1)=0.3 overall </t>
        </r>
        <r>
          <rPr>
            <b/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Tahoma"/>
            <family val="2"/>
          </rPr>
          <t xml:space="preserve"> 0.15
</t>
        </r>
      </text>
    </comment>
    <comment ref="C135" authorId="0" shapeId="0" xr:uid="{BF41DF19-5148-468B-B663-3590A2564BF7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vis a vis ch. in RIR
coeff interest -0.5 multiplied by (1-m1)=0.2, overall 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Tahoma"/>
            <family val="2"/>
          </rPr>
          <t>0.1</t>
        </r>
      </text>
    </comment>
    <comment ref="D160" authorId="0" shapeId="0" xr:uid="{C4AB68FA-AF78-4DA2-9261-4D1DD557FB44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ss appreciation</t>
        </r>
      </text>
    </comment>
    <comment ref="H160" authorId="0" shapeId="0" xr:uid="{C3A97D62-865F-4E66-ADA5-678195F9641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expected RER appreciation
</t>
        </r>
      </text>
    </comment>
    <comment ref="C161" authorId="0" shapeId="0" xr:uid="{4F000BF5-7CEA-45E0-915B-F14799A4E853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D161" authorId="0" shapeId="0" xr:uid="{DBB2CB1A-E860-4D47-920B-A4DE3770295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161" authorId="0" shapeId="0" xr:uid="{1F0CB7CD-47E4-4008-B054-F412A1236699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residually, here interest rate differential of 1 minus ss RER depr
</t>
        </r>
      </text>
    </comment>
    <comment ref="G161" authorId="0" shapeId="0" xr:uid="{6704C0F1-6198-4890-AFC2-4EC372073B5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H161" authorId="0" shapeId="0" xr:uid="{E2C769D0-726E-4541-9689-3A7ABCA77F54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H177" authorId="0" shapeId="0" xr:uid="{EE4C532E-0E07-4D21-9F59-DFA9C7E127E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combined food and energy is non-core
</t>
        </r>
      </text>
    </comment>
    <comment ref="B186" authorId="0" shapeId="0" xr:uid="{68EA9D02-1CD7-48D4-BB25-A0C9EEBCD02B}">
      <text>
        <r>
          <rPr>
            <sz val="9"/>
            <color indexed="81"/>
            <rFont val="Tahoma"/>
            <family val="2"/>
          </rPr>
          <t>ak: e^(-4) =0.02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1" authorId="0" shapeId="0" xr:uid="{E67EC4EF-0E0F-4BBE-BFC7-1EE73FEEEA59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real GDP growth trend
</t>
        </r>
      </text>
    </comment>
    <comment ref="F205" authorId="0" shapeId="0" xr:uid="{AE46C132-7A1F-4F7B-994C-93679A29107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US
</t>
        </r>
      </text>
    </comment>
    <comment ref="D208" authorId="0" shapeId="0" xr:uid="{A314C01D-4B18-4544-8877-509B6DFE1AD7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208" authorId="0" shapeId="0" xr:uid="{F3831853-1074-41C5-95AF-AA7C81DFE400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G208" authorId="0" shapeId="0" xr:uid="{7183852C-6400-405A-ACA1-79D129BA5155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calculated residually</t>
        </r>
      </text>
    </comment>
    <comment ref="F209" authorId="0" shapeId="0" xr:uid="{5E9CEF48-5468-4CDB-BC4E-032D96A283AC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US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</author>
  </authors>
  <commentList>
    <comment ref="C123" authorId="0" shapeId="0" xr:uid="{960042AA-5DDF-4AA3-9BFD-05D4FC4FE253}">
      <text>
        <r>
          <rPr>
            <b/>
            <sz val="9"/>
            <color indexed="81"/>
            <rFont val="Tahoma"/>
            <family val="2"/>
          </rPr>
          <t>ak:</t>
        </r>
        <r>
          <rPr>
            <sz val="9"/>
            <color indexed="81"/>
            <rFont val="Tahoma"/>
            <family val="2"/>
          </rPr>
          <t xml:space="preserve">
multiplied by (1-m1)=0.3 overall </t>
        </r>
        <r>
          <rPr>
            <b/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Tahoma"/>
            <family val="2"/>
          </rPr>
          <t xml:space="preserve"> 0.15
</t>
        </r>
      </text>
    </comment>
    <comment ref="C174" authorId="0" shapeId="0" xr:uid="{43672FF8-4E0D-4088-A876-A1DCAE9DED30}">
      <text>
        <r>
          <rPr>
            <sz val="9"/>
            <color indexed="81"/>
            <rFont val="Tahoma"/>
            <family val="2"/>
          </rPr>
          <t>ak: e^(-4) =0.02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<sst xmlns="http://schemas.openxmlformats.org/spreadsheetml/2006/main" count="872" uniqueCount="451">
  <si>
    <t xml:space="preserve"> </t>
  </si>
  <si>
    <t xml:space="preserve">Macro Minecofin/Matlab Model--parameters </t>
  </si>
  <si>
    <t>IMF WP/20/295</t>
  </si>
  <si>
    <t>IMF WP/14/159</t>
  </si>
  <si>
    <t xml:space="preserve">NMB Hungary </t>
  </si>
  <si>
    <t>OGR Armenia</t>
  </si>
  <si>
    <t>NBR/IMF Rwa</t>
  </si>
  <si>
    <t>Charry et al. Rwa</t>
  </si>
  <si>
    <t>Ghana</t>
  </si>
  <si>
    <t>Lag, persistence (AR1)</t>
  </si>
  <si>
    <t>Expectation (t+1)</t>
  </si>
  <si>
    <t>Output gap</t>
  </si>
  <si>
    <t>Fiscal impulse</t>
  </si>
  <si>
    <t>a1_cons   = 0.65</t>
  </si>
  <si>
    <t>a2_cons   = 0.00</t>
  </si>
  <si>
    <t>a3_cons   = 0.1</t>
  </si>
  <si>
    <t>Steady states</t>
  </si>
  <si>
    <t>Reporting equation parameters</t>
  </si>
  <si>
    <t>a1_inv   = 0.65</t>
  </si>
  <si>
    <t>a2_inv   = 0.00</t>
  </si>
  <si>
    <t>Foreign demand (WEO-GEE, trading partners)</t>
  </si>
  <si>
    <t>a1_exp  = 0.65</t>
  </si>
  <si>
    <t>a2_exp  = 0.00</t>
  </si>
  <si>
    <t>a6_exp  = 0</t>
  </si>
  <si>
    <t>Real Exchange Rate (RER)</t>
  </si>
  <si>
    <t xml:space="preserve">Weight of consumption in imports </t>
  </si>
  <si>
    <t xml:space="preserve">Weight of investment in imports </t>
  </si>
  <si>
    <t xml:space="preserve">Weight of government demand in imports </t>
  </si>
  <si>
    <t xml:space="preserve">Weight of exports demand in imports </t>
  </si>
  <si>
    <t>Real Monetary Conditions Index (RMCI)</t>
  </si>
  <si>
    <t>Foreign output gap</t>
  </si>
  <si>
    <t>w_y_cons    = 0.78</t>
  </si>
  <si>
    <t>w_y_gdem   = 0.23</t>
  </si>
  <si>
    <t>w_y_exp     = 0.21</t>
  </si>
  <si>
    <t>Weight of consumption in output</t>
  </si>
  <si>
    <t>Weight of government demand in output</t>
  </si>
  <si>
    <t>Weight of exports in output</t>
  </si>
  <si>
    <t>Weight of imports in output</t>
  </si>
  <si>
    <t>Weight of investment in output</t>
  </si>
  <si>
    <t>a1  = 0.65</t>
  </si>
  <si>
    <t>a2  = 0.00</t>
  </si>
  <si>
    <t>a4  = 0.2</t>
  </si>
  <si>
    <t>a5  = 0.3</t>
  </si>
  <si>
    <r>
      <t>Weights of demand components in Output gap (</t>
    </r>
    <r>
      <rPr>
        <b/>
        <sz val="9"/>
        <color theme="1"/>
        <rFont val="Calibri"/>
        <family val="2"/>
      </rPr>
      <t>∑=1</t>
    </r>
    <r>
      <rPr>
        <b/>
        <sz val="11"/>
        <color theme="1"/>
        <rFont val="Calibri"/>
        <family val="2"/>
      </rPr>
      <t>)</t>
    </r>
  </si>
  <si>
    <t>Exchange rate</t>
  </si>
  <si>
    <t xml:space="preserve">Real marginal cost (RMC) </t>
  </si>
  <si>
    <t>1 - b1 - b3 = 0.6</t>
  </si>
  <si>
    <t>b2  = 0.20</t>
  </si>
  <si>
    <t>b4  = 0.80</t>
  </si>
  <si>
    <t>Direct effect foreign food inflation</t>
  </si>
  <si>
    <t>Direct effect foreign inflation</t>
  </si>
  <si>
    <t>Agricultural output gap</t>
  </si>
  <si>
    <t>bf2 = 0.1</t>
  </si>
  <si>
    <t>Direct effect foreign oil price inflation</t>
  </si>
  <si>
    <t>Weight of food</t>
  </si>
  <si>
    <t>Weight of core</t>
  </si>
  <si>
    <t>Weight of energy</t>
  </si>
  <si>
    <t>w_core = 0.7747</t>
  </si>
  <si>
    <t>w_food = 0.1577</t>
  </si>
  <si>
    <t>w_ener =  0.0676</t>
  </si>
  <si>
    <t>Inflation deviation (from inflation target)</t>
  </si>
  <si>
    <t>c4 = 0.0</t>
  </si>
  <si>
    <t>c5 = 0.9</t>
  </si>
  <si>
    <t>Lending rate premium, lag (AR1)</t>
  </si>
  <si>
    <t>CPI target, lag (AR1)</t>
  </si>
  <si>
    <t>c6 = 0.9</t>
  </si>
  <si>
    <t>Weight of UIP (pure ER target =0 ; pure UIP =1)</t>
  </si>
  <si>
    <t>Forward looking: expected exchange rate</t>
  </si>
  <si>
    <t>Country interest rate premium, lag (AR1)</t>
  </si>
  <si>
    <t>e3 = 0.9</t>
  </si>
  <si>
    <t>Targeted depreciation, lag (AR1)</t>
  </si>
  <si>
    <t>e4 = 0.00</t>
  </si>
  <si>
    <t>Targeted depr. in response to inflation deviation</t>
  </si>
  <si>
    <t>e5 = 0.30</t>
  </si>
  <si>
    <t>Real money demand</t>
  </si>
  <si>
    <t>Velocity, lag, persistence (AR1)</t>
  </si>
  <si>
    <t>m3 = 0.9</t>
  </si>
  <si>
    <t>m1 = 0.7</t>
  </si>
  <si>
    <t>Agricultural output trend</t>
  </si>
  <si>
    <t>Investment</t>
  </si>
  <si>
    <t>Government demand</t>
  </si>
  <si>
    <t xml:space="preserve">Exports </t>
  </si>
  <si>
    <t>Imports</t>
  </si>
  <si>
    <t>Real exchange rate (RER)</t>
  </si>
  <si>
    <t>r1_y_agr    = 0.40</t>
  </si>
  <si>
    <t>r2_y_agr    = 0.80</t>
  </si>
  <si>
    <t>r_cons      = 0.95</t>
  </si>
  <si>
    <t>r_inv       = 0.95</t>
  </si>
  <si>
    <t>r_gdem      = 0.95</t>
  </si>
  <si>
    <t>r_exp       = 0.95</t>
  </si>
  <si>
    <t>r_imp       = 0.95</t>
  </si>
  <si>
    <t>r_z         = 0.95</t>
  </si>
  <si>
    <t>r_rp_food   = 0.90</t>
  </si>
  <si>
    <t>r_rp_ener   = 0.90</t>
  </si>
  <si>
    <t>ss_bor_str    =  6</t>
  </si>
  <si>
    <t>External borrowing by government (in % of GDP)</t>
  </si>
  <si>
    <t xml:space="preserve">External grants to government </t>
  </si>
  <si>
    <t>Trend growth real GDP</t>
  </si>
  <si>
    <t>Trend growth real agricultural GDP</t>
  </si>
  <si>
    <t>CPI inflation target</t>
  </si>
  <si>
    <r>
      <t>Trend growth relative price food</t>
    </r>
    <r>
      <rPr>
        <sz val="9"/>
        <color theme="1"/>
        <rFont val="Calibri"/>
        <family val="2"/>
        <scheme val="minor"/>
      </rPr>
      <t xml:space="preserve"> (relative to headline)</t>
    </r>
  </si>
  <si>
    <r>
      <t xml:space="preserve">Relative price energy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</si>
  <si>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Relative price food </t>
    </r>
    <r>
      <rPr>
        <sz val="9"/>
        <color theme="1"/>
        <rFont val="Calibri"/>
        <family val="2"/>
        <scheme val="minor"/>
      </rPr>
      <t>(relative to headline CPI)</t>
    </r>
  </si>
  <si>
    <r>
      <t xml:space="preserve">Trend growth relative price energy </t>
    </r>
    <r>
      <rPr>
        <sz val="9"/>
        <color theme="1"/>
        <rFont val="Calibri"/>
        <family val="2"/>
        <scheme val="minor"/>
      </rPr>
      <t>(relative to headline)</t>
    </r>
  </si>
  <si>
    <t>Trend growth RER</t>
  </si>
  <si>
    <t>Country interest rate premium</t>
  </si>
  <si>
    <t>ss_prem_d  =  8.5</t>
  </si>
  <si>
    <t>ss_dl_z_tnd  =  0.0</t>
  </si>
  <si>
    <t>ss_dl_rp_cpi_ener_tnd = 0.0</t>
  </si>
  <si>
    <t>ss_grants   =  5</t>
  </si>
  <si>
    <t xml:space="preserve">Trend growth velocity of money </t>
  </si>
  <si>
    <r>
      <t xml:space="preserve">Domestic lending premium </t>
    </r>
    <r>
      <rPr>
        <sz val="9"/>
        <color theme="1"/>
        <rFont val="Calibri"/>
        <family val="2"/>
        <scheme val="minor"/>
      </rPr>
      <t>(over policy rate)</t>
    </r>
  </si>
  <si>
    <r>
      <t>Government foreign borrowing premium</t>
    </r>
    <r>
      <rPr>
        <sz val="9"/>
        <color theme="1"/>
        <rFont val="Calibri"/>
        <family val="2"/>
        <scheme val="minor"/>
      </rPr>
      <t xml:space="preserve"> (discount)</t>
    </r>
  </si>
  <si>
    <t>Shock in discretionary deficit</t>
  </si>
  <si>
    <t>Shock in consumption gap</t>
  </si>
  <si>
    <t>Shock in investment gap</t>
  </si>
  <si>
    <t>Shock in government demand gap</t>
  </si>
  <si>
    <t>Shock in export gap</t>
  </si>
  <si>
    <t>Shock in import demand gap</t>
  </si>
  <si>
    <t xml:space="preserve">Shock in food CPI Inflation </t>
  </si>
  <si>
    <t xml:space="preserve">Shock in energy CPI Inflation </t>
  </si>
  <si>
    <t xml:space="preserve">Shock in core CPI Inflation </t>
  </si>
  <si>
    <t xml:space="preserve">Shock in  policy interest rate </t>
  </si>
  <si>
    <t>Shock in log nominal exchange rate</t>
  </si>
  <si>
    <t>Shock in real money demand growth rate</t>
  </si>
  <si>
    <t>Shock in velocity growth rate</t>
  </si>
  <si>
    <t>std_shock_def_discr     = 3.0</t>
  </si>
  <si>
    <t>std_shock_l_cons_gap    = 2.5</t>
  </si>
  <si>
    <t>std_shock_l_inv_gap     = 6</t>
  </si>
  <si>
    <t>std_shock_l_gdem_gap    = 6</t>
  </si>
  <si>
    <t>std_shock_l_exp_gap     = 6</t>
  </si>
  <si>
    <t>std_shock_l_imp_gap     = 0.5</t>
  </si>
  <si>
    <t>std_shock_dl_cpi_ener   = 3.5</t>
  </si>
  <si>
    <t>std_shock_l_s           = 0.35</t>
  </si>
  <si>
    <t>std_shock_dl_rmd        = 1</t>
  </si>
  <si>
    <t>std_shock_dl_v          = 0.1</t>
  </si>
  <si>
    <t>std_shock_i             = 1</t>
  </si>
  <si>
    <t>std_shock_dl_cpi_core   = 2</t>
  </si>
  <si>
    <t>std_shock_dl_cpi_food   = 9</t>
  </si>
  <si>
    <t>std_shock_prem_d_gap   = 0.80</t>
  </si>
  <si>
    <t>Shock in output gap</t>
  </si>
  <si>
    <t>Shock in agricultural output gap</t>
  </si>
  <si>
    <t>Shock in CPI</t>
  </si>
  <si>
    <t>std_shock_l_y_gap = 1e-4;</t>
  </si>
  <si>
    <t>std_shock_l_cpi = 1e-4;</t>
  </si>
  <si>
    <t>std_shock_l_y_agr_gap = 0.3</t>
  </si>
  <si>
    <t>Shock in structural deficit</t>
  </si>
  <si>
    <t>Shock in trend consumption growth</t>
  </si>
  <si>
    <t>Shock in trend investment growth</t>
  </si>
  <si>
    <t>Shock in trend government demand growth</t>
  </si>
  <si>
    <t>Shock in trend export growth</t>
  </si>
  <si>
    <t>Shock in trend import demand growth</t>
  </si>
  <si>
    <t>Shock in trend RER growth</t>
  </si>
  <si>
    <t>Shock in target CPI inflation rate</t>
  </si>
  <si>
    <t>Shock in trend relative food price growth</t>
  </si>
  <si>
    <t>Shock in trend relative energy price growth</t>
  </si>
  <si>
    <t>Shock in target nominal depreciation rate</t>
  </si>
  <si>
    <t>std_shock_def_str             = 0.30</t>
  </si>
  <si>
    <t>std_shock_grants              = 0.30</t>
  </si>
  <si>
    <t>std_shock_dl_cons_tnd         = 0.25</t>
  </si>
  <si>
    <t>std_shock_dl_inv_tnd          = 0.50</t>
  </si>
  <si>
    <t>std_shock_dl_gdem_tnd         = 0.50</t>
  </si>
  <si>
    <t>std_shock_dl_exp_tnd          = 0.75</t>
  </si>
  <si>
    <t>std_shock_dl_imp_tnd          = 0.25</t>
  </si>
  <si>
    <t>std_shock_dl_z_tnd            = 0.10</t>
  </si>
  <si>
    <t>std_shock_d4l_cpi_tar         = 0.10</t>
  </si>
  <si>
    <t>std_shock_dl_rp_cpi_food_tnd  = 0.50</t>
  </si>
  <si>
    <t>std_shock_dl_rp_cpi_ener_tnd  = 0.15</t>
  </si>
  <si>
    <t>std_shock_dl_s_tar            = 0.30</t>
  </si>
  <si>
    <t>std_shock_prem                = 0.10</t>
  </si>
  <si>
    <t>ss_dl_rp_foodstar_tnd   = 0</t>
  </si>
  <si>
    <t>ss_dl_rp_enerstar_tnd   = 0</t>
  </si>
  <si>
    <t>r_rp_foodstar_gap   = 0.62</t>
  </si>
  <si>
    <t>r_rp_enerstar_gap    = 0.73</t>
  </si>
  <si>
    <t>r_rp_foodstar_tnd   = 0.90</t>
  </si>
  <si>
    <t>r_rp_enerstar_tnd   = 0.90</t>
  </si>
  <si>
    <t>std_shock_dl_cpistar          = 3.8</t>
  </si>
  <si>
    <t>std_shock_istar               = 0.45</t>
  </si>
  <si>
    <t>std_shock_rstar_tnd           = 0.5</t>
  </si>
  <si>
    <t>std_shock_l_rp_foodstar_gap   = 5.3</t>
  </si>
  <si>
    <t>std_shock_l_rp_enerstar_gap   = 13.9</t>
  </si>
  <si>
    <t>ss_dl_cpistar  = 100*log(1 + 2/100)</t>
  </si>
  <si>
    <t>ss_rstar_tnd = 0</t>
  </si>
  <si>
    <t>r_ystar  = 0.94</t>
  </si>
  <si>
    <t>r_cpistar  = 0.80</t>
  </si>
  <si>
    <t>r_istar  = 0.80</t>
  </si>
  <si>
    <t>r_rstar_tnd  = 0.90</t>
  </si>
  <si>
    <t>Steady state foreign inflation rate</t>
  </si>
  <si>
    <t>Steady state growth in foreign relative energy price</t>
  </si>
  <si>
    <t xml:space="preserve">Steady state trend foreign real interest rate </t>
  </si>
  <si>
    <t xml:space="preserve">Steady state trend foreign nominal interest rate </t>
  </si>
  <si>
    <t>External steady states</t>
  </si>
  <si>
    <t xml:space="preserve">External persistence </t>
  </si>
  <si>
    <t>External shocks</t>
  </si>
  <si>
    <r>
      <t>Foreign CPI</t>
    </r>
    <r>
      <rPr>
        <sz val="9"/>
        <color theme="1"/>
        <rFont val="Calibri"/>
        <family val="2"/>
        <scheme val="minor"/>
      </rPr>
      <t xml:space="preserve"> (Rwanda trading partners)</t>
    </r>
  </si>
  <si>
    <t>Foreign nominal interest rate</t>
  </si>
  <si>
    <t>Foreign relative food price gap</t>
  </si>
  <si>
    <t>Foreign relative energy price gap</t>
  </si>
  <si>
    <t>Foreign relative food price trend</t>
  </si>
  <si>
    <t>Foreign relative energy price trend</t>
  </si>
  <si>
    <t>Shock in foreign output gap</t>
  </si>
  <si>
    <t>Shock in foreign inflation rate</t>
  </si>
  <si>
    <t>Shock in foreign real interest rate trend</t>
  </si>
  <si>
    <t>Shock in foreign nominal interest rate</t>
  </si>
  <si>
    <t>Shock in foreign relative food price gap</t>
  </si>
  <si>
    <t>Shock in foreign relative energy price gap</t>
  </si>
  <si>
    <t>Shock in foreign relative food price trend</t>
  </si>
  <si>
    <t>Shock in foreign relative energy price trend</t>
  </si>
  <si>
    <t>Ratio foreign currency debt/total government debt</t>
  </si>
  <si>
    <t>Persistence of ratio foreign debt/total government debt</t>
  </si>
  <si>
    <t xml:space="preserve">mu_pexp = 0.2 </t>
  </si>
  <si>
    <t>mu_pimp = 0.35</t>
  </si>
  <si>
    <t xml:space="preserve">r_debt_fcy_rat = 0.9 </t>
  </si>
  <si>
    <t xml:space="preserve">Persistence of interest rate foreign debt </t>
  </si>
  <si>
    <t xml:space="preserve">Persistence of interest rate domestic debt </t>
  </si>
  <si>
    <t>r_debt_fcy_intrate_pers = 0.9</t>
  </si>
  <si>
    <t xml:space="preserve">r_debt_lcy_intrate_pers = 0.9 </t>
  </si>
  <si>
    <t>Response private capital inflows to UIP</t>
  </si>
  <si>
    <t>gamma_r = 0.5</t>
  </si>
  <si>
    <t>Persistence  private capital inflows</t>
  </si>
  <si>
    <t>NBR Rwa</t>
  </si>
  <si>
    <t>std_shock_dl_rp_foodstar_tnd  = 0.5</t>
  </si>
  <si>
    <t>std_shock_dl_rp_enerstar_tnd  = 2.5</t>
  </si>
  <si>
    <t>Trend persistence, AR(1)</t>
  </si>
  <si>
    <t>Shock in domestic lending rate premium</t>
  </si>
  <si>
    <t>Shock in external grants</t>
  </si>
  <si>
    <t>Shock in country interest rate premium</t>
  </si>
  <si>
    <t>Steady state growth in foreign relative food price</t>
  </si>
  <si>
    <t>Share of exports G&amp;S in GDP deflator</t>
  </si>
  <si>
    <t>Share of imports G&amp;S in CPI</t>
  </si>
  <si>
    <t>tab_param below this</t>
  </si>
  <si>
    <t>India</t>
  </si>
  <si>
    <t>Monetary policy rule (i)</t>
  </si>
  <si>
    <t xml:space="preserve">    Weight of RER in RMCI (or RER directly)</t>
  </si>
  <si>
    <t>Weight if RIR in RMCI (or RIR directly)</t>
  </si>
  <si>
    <t>0.85 (t-1)</t>
  </si>
  <si>
    <t>0.05 (t-1)</t>
  </si>
  <si>
    <t>Weight of Output gap in RMC (or Outputgap directly)</t>
  </si>
  <si>
    <t>0.3 (t-1)</t>
  </si>
  <si>
    <r>
      <rPr>
        <b/>
        <sz val="9"/>
        <color rgb="FF0070C0"/>
        <rFont val="Calibri"/>
        <family val="2"/>
        <scheme val="minor"/>
      </rPr>
      <t>Berg et al-</t>
    </r>
    <r>
      <rPr>
        <b/>
        <sz val="10"/>
        <color rgb="FF0070C0"/>
        <rFont val="Calibri"/>
        <family val="2"/>
        <scheme val="minor"/>
      </rPr>
      <t>Can-US</t>
    </r>
  </si>
  <si>
    <t>na</t>
  </si>
  <si>
    <t>…</t>
  </si>
  <si>
    <t xml:space="preserve">     Weight of RER in RMC of RER directly)</t>
  </si>
  <si>
    <t>non-core</t>
  </si>
  <si>
    <t xml:space="preserve">   RIR trend persistence</t>
  </si>
  <si>
    <t>FPAS EcReview 2015</t>
  </si>
  <si>
    <t>a3  = - 0.15 (negative impact on outputgap)</t>
  </si>
  <si>
    <t>a6  = 0.5  (negative impact on outputgap)</t>
  </si>
  <si>
    <t>IS eq. used</t>
  </si>
  <si>
    <t>1 - b4= 0.2</t>
  </si>
  <si>
    <t>n.a.</t>
  </si>
  <si>
    <t>0.6 (IB prem &gt; i)</t>
  </si>
  <si>
    <t xml:space="preserve">Interest rate </t>
  </si>
  <si>
    <t>missing  7 ?</t>
  </si>
  <si>
    <t>?</t>
  </si>
  <si>
    <t>n.a. ?</t>
  </si>
  <si>
    <t xml:space="preserve">     Weight outputgap in RMC (or direct effect)</t>
  </si>
  <si>
    <t>0.5*0.2=0.1</t>
  </si>
  <si>
    <r>
      <t>Consumption (=</t>
    </r>
    <r>
      <rPr>
        <u/>
        <sz val="11"/>
        <color theme="1"/>
        <rFont val="Calibri"/>
        <family val="2"/>
        <scheme val="minor"/>
      </rPr>
      <t xml:space="preserve"> output trend</t>
    </r>
    <r>
      <rPr>
        <sz val="11"/>
        <color theme="1"/>
        <rFont val="Calibri"/>
        <family val="2"/>
        <scheme val="minor"/>
      </rPr>
      <t xml:space="preserve"> persistence etc. )</t>
    </r>
  </si>
  <si>
    <r>
      <t xml:space="preserve">Foreign output gap </t>
    </r>
    <r>
      <rPr>
        <sz val="9"/>
        <color theme="1"/>
        <rFont val="Calibri"/>
        <family val="2"/>
        <scheme val="minor"/>
      </rPr>
      <t>(Rwanda trading partners)</t>
    </r>
  </si>
  <si>
    <t xml:space="preserve">Foreign real interest rate trend </t>
  </si>
  <si>
    <t>5?</t>
  </si>
  <si>
    <t>WP/17/01, 2017</t>
  </si>
  <si>
    <t>SARB SAfrica</t>
  </si>
  <si>
    <t>goods</t>
  </si>
  <si>
    <r>
      <t xml:space="preserve">0.03-0.01 </t>
    </r>
    <r>
      <rPr>
        <sz val="8"/>
        <color theme="1"/>
        <rFont val="Calibri"/>
        <family val="2"/>
        <scheme val="minor"/>
      </rPr>
      <t>(food,oil)</t>
    </r>
  </si>
  <si>
    <r>
      <t>0.55</t>
    </r>
    <r>
      <rPr>
        <sz val="8"/>
        <color theme="1"/>
        <rFont val="Calibri"/>
        <family val="2"/>
        <scheme val="minor"/>
      </rPr>
      <t xml:space="preserve"> weight in RMC</t>
    </r>
  </si>
  <si>
    <t xml:space="preserve">fuel </t>
  </si>
  <si>
    <r>
      <t>Government dom. borrowing premium</t>
    </r>
    <r>
      <rPr>
        <sz val="9"/>
        <color theme="1"/>
        <rFont val="Calibri"/>
        <family val="2"/>
        <scheme val="minor"/>
      </rPr>
      <t xml:space="preserve"> (over policy rate)</t>
    </r>
  </si>
  <si>
    <t xml:space="preserve">Steady state foreign real growth </t>
  </si>
  <si>
    <t>…?</t>
  </si>
  <si>
    <r>
      <t>P</t>
    </r>
    <r>
      <rPr>
        <vertAlign val="subscript"/>
        <sz val="11"/>
        <color theme="1"/>
        <rFont val="Calibri"/>
        <family val="2"/>
        <scheme val="minor"/>
      </rPr>
      <t>oil</t>
    </r>
    <r>
      <rPr>
        <vertAlign val="superscript"/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 xml:space="preserve">+ s </t>
    </r>
    <r>
      <rPr>
        <sz val="8"/>
        <color theme="1"/>
        <rFont val="Calibri"/>
        <family val="2"/>
        <scheme val="minor"/>
      </rPr>
      <t>(foreign)</t>
    </r>
  </si>
  <si>
    <t>RBI, IMF (2016)</t>
  </si>
  <si>
    <t>….</t>
  </si>
  <si>
    <t>~MINECOFIN.model</t>
  </si>
  <si>
    <t>n.a.?</t>
  </si>
  <si>
    <t>-0.1 (t-1)</t>
  </si>
  <si>
    <r>
      <t xml:space="preserve">0.05-0.07 </t>
    </r>
    <r>
      <rPr>
        <sz val="8"/>
        <color theme="1"/>
        <rFont val="Calibri"/>
        <family val="2"/>
        <scheme val="minor"/>
      </rPr>
      <t>(food,oil)</t>
    </r>
  </si>
  <si>
    <r>
      <t xml:space="preserve">Weight of RIR in RMCI (or RIR direct effect, if RMCI </t>
    </r>
    <r>
      <rPr>
        <sz val="11"/>
        <color rgb="FFC00000"/>
        <rFont val="Calibri"/>
        <family val="2"/>
        <scheme val="minor"/>
      </rPr>
      <t>n.a.</t>
    </r>
    <r>
      <rPr>
        <sz val="11"/>
        <color theme="1"/>
        <rFont val="Calibri"/>
        <family val="2"/>
        <scheme val="minor"/>
      </rPr>
      <t>)</t>
    </r>
  </si>
  <si>
    <r>
      <t xml:space="preserve">    Weight of RER in RMCI (or RER direct effect if RMCI </t>
    </r>
    <r>
      <rPr>
        <sz val="10"/>
        <color rgb="FFC00000"/>
        <rFont val="Calibri"/>
        <family val="2"/>
        <scheme val="minor"/>
      </rPr>
      <t>n.a</t>
    </r>
    <r>
      <rPr>
        <sz val="10"/>
        <color theme="1"/>
        <rFont val="Calibri"/>
        <family val="2"/>
        <scheme val="minor"/>
      </rPr>
      <t>)</t>
    </r>
  </si>
  <si>
    <t>Weight of RER in RMCI (or RER direct effect, if RMCI n.a.)</t>
  </si>
  <si>
    <r>
      <t xml:space="preserve">Exchange rate depreciation </t>
    </r>
    <r>
      <rPr>
        <sz val="9"/>
        <color theme="1"/>
        <rFont val="Calibri"/>
        <family val="2"/>
        <scheme val="minor"/>
      </rPr>
      <t>rate, deviation from target</t>
    </r>
  </si>
  <si>
    <t>OGRes/WAIFEM</t>
  </si>
  <si>
    <r>
      <t>1 - a6  = - 0.5</t>
    </r>
    <r>
      <rPr>
        <sz val="8"/>
        <color theme="1"/>
        <rFont val="Calibri"/>
        <family val="2"/>
        <scheme val="minor"/>
      </rPr>
      <t xml:space="preserve"> (positive impact on outputgap)</t>
    </r>
  </si>
  <si>
    <t xml:space="preserve">n.a. </t>
  </si>
  <si>
    <t xml:space="preserve">     Weight REER (for food price) in RMC (indirect effect)</t>
  </si>
  <si>
    <t xml:space="preserve">     Weight (RER, for.energy price in RMC (indirect effect)</t>
  </si>
  <si>
    <t xml:space="preserve">a3_inv   = 0.1 </t>
  </si>
  <si>
    <t>IS eq. not used (alternative spec.)</t>
  </si>
  <si>
    <t>Backward looking: lagged exchange rate</t>
  </si>
  <si>
    <t>a6_cons   = 1.0</t>
  </si>
  <si>
    <t>a6_inv   = 1.0</t>
  </si>
  <si>
    <t>a1_imp      =   0.3 (negative sign in eq.)</t>
  </si>
  <si>
    <r>
      <t>b3  = 0.05</t>
    </r>
    <r>
      <rPr>
        <sz val="8"/>
        <color rgb="FFFF0000"/>
        <rFont val="Calibri"/>
        <family val="2"/>
        <scheme val="minor"/>
      </rPr>
      <t xml:space="preserve"> (&lt;&lt; import share =0.20 partial pass-thru, stability!)</t>
    </r>
  </si>
  <si>
    <t>1 - bf1 - bf3 = 0.55</t>
  </si>
  <si>
    <t>1 - be1 - be3 = 0.55</t>
  </si>
  <si>
    <r>
      <t xml:space="preserve">ss_debt_fcy_rat  =  0.85 </t>
    </r>
    <r>
      <rPr>
        <sz val="9"/>
        <color rgb="FFFF0000"/>
        <rFont val="Calibri"/>
        <family val="2"/>
        <scheme val="minor"/>
      </rPr>
      <t>(55/65)</t>
    </r>
  </si>
  <si>
    <r>
      <t xml:space="preserve">Standard deviation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</rPr>
      <t>σ or SE=σ/√n)</t>
    </r>
  </si>
  <si>
    <r>
      <t xml:space="preserve">ss_istar = 2 </t>
    </r>
    <r>
      <rPr>
        <sz val="9"/>
        <color rgb="FFFF0000"/>
        <rFont val="Calibri"/>
        <family val="2"/>
        <scheme val="minor"/>
      </rPr>
      <t>(in model: = ss of r* + CPI*)</t>
    </r>
  </si>
  <si>
    <t>QMFM (this study MINECOFIN)</t>
  </si>
  <si>
    <r>
      <t xml:space="preserve">Trend dom.real interest rate </t>
    </r>
    <r>
      <rPr>
        <sz val="9"/>
        <color theme="1"/>
        <rFont val="Calibri"/>
        <family val="2"/>
        <scheme val="minor"/>
      </rPr>
      <t>(foreign RIR+premium+RERdepr_tnd)</t>
    </r>
  </si>
  <si>
    <t>CBR negative premium relative to interbank rate (IB)</t>
  </si>
  <si>
    <r>
      <t xml:space="preserve">Automatic stabilizer effect (relative to output gap), </t>
    </r>
    <r>
      <rPr>
        <sz val="11"/>
        <color rgb="FFC00000"/>
        <rFont val="Calibri"/>
        <family val="2"/>
        <scheme val="minor"/>
      </rPr>
      <t xml:space="preserve">weight of outgap in cyclical other-expense deficit </t>
    </r>
  </si>
  <si>
    <t>Persistence (lag)</t>
  </si>
  <si>
    <t>v2 = 0.0060</t>
  </si>
  <si>
    <t>v1 = 0.0120</t>
  </si>
  <si>
    <t>v3 = 0.0200</t>
  </si>
  <si>
    <t>Fiscal/budget sector</t>
  </si>
  <si>
    <t>Other expense (oexp_y)</t>
  </si>
  <si>
    <t>Govt revenue(grev_y)</t>
  </si>
  <si>
    <t>Variable/parameter description</t>
  </si>
  <si>
    <t>1.Cyclical component (def_y_cyc)</t>
  </si>
  <si>
    <t>persitence(lag)</t>
  </si>
  <si>
    <t xml:space="preserve">weight of import gap (import tax?) </t>
  </si>
  <si>
    <t>weight of output gap (income or VAT tax?)</t>
  </si>
  <si>
    <t>Govt demand (gdem_y)</t>
  </si>
  <si>
    <t>t1 = 0</t>
  </si>
  <si>
    <t>t2 = 0.023</t>
  </si>
  <si>
    <t>Automatic stabilizer: weight of output gap</t>
  </si>
  <si>
    <t>other expenses(oexp)</t>
  </si>
  <si>
    <t>u3 = 0.95</t>
  </si>
  <si>
    <t xml:space="preserve">steady state </t>
  </si>
  <si>
    <t>v4 = 0.9900</t>
  </si>
  <si>
    <t>t3 = 0.95</t>
  </si>
  <si>
    <t>2.Structural component (def_y_str)</t>
  </si>
  <si>
    <t>steady state</t>
  </si>
  <si>
    <t>s1 = 1</t>
  </si>
  <si>
    <t>Weight discretionary deficit (gdem_y_discr  + oexp_y_discr - grev_y_discr)</t>
  </si>
  <si>
    <t>II. Fiscal grants</t>
  </si>
  <si>
    <t>II. Fiscal impulse (fisc_imp =def_y_discr +   def_y_str</t>
  </si>
  <si>
    <t>d7 = 0.5</t>
  </si>
  <si>
    <t>u3 = 0</t>
  </si>
  <si>
    <t>ss_grev_y_str = 21 , (1-v4) * ss_grev_y_str =  0.21</t>
  </si>
  <si>
    <t>ss_gdem_y_str = 26, (1-t3)* ss_oexp_y_str = 0.30</t>
  </si>
  <si>
    <t>ss_grants_y = 5, (1-d7) * ss_grants_y = 2.50</t>
  </si>
  <si>
    <t>I. Fiscal deficit (def_y = gdem_y + oexp_y - grev_y)</t>
  </si>
  <si>
    <t>a5_cons   = 0.250 (0.5)</t>
  </si>
  <si>
    <r>
      <t>a4_cons   = 0.2 (</t>
    </r>
    <r>
      <rPr>
        <sz val="9"/>
        <color rgb="FFFF0000"/>
        <rFont val="Calibri"/>
        <family val="2"/>
        <scheme val="minor"/>
      </rPr>
      <t>0.3)</t>
    </r>
  </si>
  <si>
    <r>
      <t xml:space="preserve">a4_inv   = 0.2 </t>
    </r>
    <r>
      <rPr>
        <sz val="9"/>
        <color rgb="FFFF0000"/>
        <rFont val="Calibri"/>
        <family val="2"/>
        <scheme val="minor"/>
      </rPr>
      <t>(0.3)</t>
    </r>
  </si>
  <si>
    <t>a5_inv   =  0.15 (0.3)</t>
  </si>
  <si>
    <t>(1 - a6_exp) * a3_exp =  0.2</t>
  </si>
  <si>
    <r>
      <t>a3_exp  = 0.2</t>
    </r>
    <r>
      <rPr>
        <sz val="9"/>
        <color rgb="FFFF0000"/>
        <rFont val="Calibri"/>
        <family val="2"/>
        <scheme val="minor"/>
      </rPr>
      <t xml:space="preserve"> (0.1)</t>
    </r>
  </si>
  <si>
    <r>
      <t>a5_exp  = 0.3</t>
    </r>
    <r>
      <rPr>
        <sz val="9"/>
        <color rgb="FFFF0000"/>
        <rFont val="Calibri"/>
        <family val="2"/>
        <scheme val="minor"/>
      </rPr>
      <t xml:space="preserve"> (0.5)</t>
    </r>
  </si>
  <si>
    <r>
      <t xml:space="preserve">w_imp_cons  = </t>
    </r>
    <r>
      <rPr>
        <sz val="9"/>
        <color rgb="FFC00000"/>
        <rFont val="Calibri"/>
        <family val="2"/>
        <scheme val="minor"/>
      </rPr>
      <t>0.4457</t>
    </r>
    <r>
      <rPr>
        <sz val="9"/>
        <color theme="1"/>
        <rFont val="Calibri"/>
        <family val="2"/>
        <scheme val="minor"/>
      </rPr>
      <t xml:space="preserve"> (0.23 (0.30/1.30))</t>
    </r>
  </si>
  <si>
    <r>
      <t xml:space="preserve">w_imp_inv   = </t>
    </r>
    <r>
      <rPr>
        <sz val="9"/>
        <color rgb="FFC00000"/>
        <rFont val="Calibri"/>
        <family val="2"/>
        <scheme val="minor"/>
      </rPr>
      <t>0.156</t>
    </r>
    <r>
      <rPr>
        <sz val="9"/>
        <color theme="1"/>
        <rFont val="Calibri"/>
        <family val="2"/>
        <scheme val="minor"/>
      </rPr>
      <t xml:space="preserve"> (0.31 (0.40/1.30))</t>
    </r>
  </si>
  <si>
    <r>
      <t xml:space="preserve">w_imp_gdem  = </t>
    </r>
    <r>
      <rPr>
        <sz val="9"/>
        <color rgb="FFC00000"/>
        <rFont val="Calibri"/>
        <family val="2"/>
        <scheme val="minor"/>
      </rPr>
      <t xml:space="preserve"> 0.2760</t>
    </r>
    <r>
      <rPr>
        <sz val="9"/>
        <color theme="1"/>
        <rFont val="Calibri"/>
        <family val="2"/>
        <scheme val="minor"/>
      </rPr>
      <t xml:space="preserve"> (0.31 (0.40/1.30))</t>
    </r>
  </si>
  <si>
    <r>
      <t xml:space="preserve">w_imp_exp   = </t>
    </r>
    <r>
      <rPr>
        <sz val="9"/>
        <color rgb="FFC00000"/>
        <rFont val="Calibri"/>
        <family val="2"/>
        <scheme val="minor"/>
      </rPr>
      <t>0.1223</t>
    </r>
    <r>
      <rPr>
        <sz val="9"/>
        <color theme="1"/>
        <rFont val="Calibri"/>
        <family val="2"/>
        <scheme val="minor"/>
      </rPr>
      <t xml:space="preserve"> (0.15 (0.20/1.30))</t>
    </r>
  </si>
  <si>
    <r>
      <t xml:space="preserve">b1  = </t>
    </r>
    <r>
      <rPr>
        <sz val="9"/>
        <color rgb="FFC00000"/>
        <rFont val="Calibri"/>
        <family val="2"/>
        <scheme val="minor"/>
      </rPr>
      <t>0.35</t>
    </r>
    <r>
      <rPr>
        <sz val="9"/>
        <color theme="1"/>
        <rFont val="Calibri"/>
        <family val="2"/>
        <scheme val="minor"/>
      </rPr>
      <t xml:space="preserve"> (0.45 (</t>
    </r>
    <r>
      <rPr>
        <sz val="8"/>
        <color rgb="FFFF0000"/>
        <rFont val="Calibri"/>
        <family val="2"/>
        <scheme val="minor"/>
      </rPr>
      <t>0.35)</t>
    </r>
  </si>
  <si>
    <t>Import gap (l_imp_gap)</t>
  </si>
  <si>
    <t>Export gap(l_exp_gap)</t>
  </si>
  <si>
    <t>Investment gap(l_inv_gap)</t>
  </si>
  <si>
    <t>Consumption gap(l_cons_gap)</t>
  </si>
  <si>
    <t>IS curve specification: Output gap (l_y_gap)</t>
  </si>
  <si>
    <t>Govt demand(gdem_y)</t>
  </si>
  <si>
    <t>Alternative: IS curve specification: Output gap</t>
  </si>
  <si>
    <t>w_y_imp     = 0.35</t>
  </si>
  <si>
    <r>
      <t>Phillips curve core inflation (</t>
    </r>
    <r>
      <rPr>
        <b/>
        <sz val="11"/>
        <color theme="1"/>
        <rFont val="Calibri"/>
        <family val="2"/>
      </rPr>
      <t>π</t>
    </r>
    <r>
      <rPr>
        <b/>
        <vertAlign val="superscript"/>
        <sz val="11"/>
        <color theme="1"/>
        <rFont val="Calibri"/>
        <family val="2"/>
      </rPr>
      <t>core</t>
    </r>
    <r>
      <rPr>
        <b/>
        <sz val="11"/>
        <color theme="1"/>
        <rFont val="Calibri"/>
        <family val="2"/>
        <scheme val="minor"/>
      </rPr>
      <t>)--dl_cpi_core</t>
    </r>
  </si>
  <si>
    <r>
      <t>Phillips curve food inflation (π</t>
    </r>
    <r>
      <rPr>
        <b/>
        <vertAlign val="superscript"/>
        <sz val="11"/>
        <color theme="1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>)--dl_cpi_food</t>
    </r>
  </si>
  <si>
    <r>
      <t>Phillips curve energy inflation (π</t>
    </r>
    <r>
      <rPr>
        <b/>
        <vertAlign val="superscript"/>
        <sz val="11"/>
        <color theme="1"/>
        <rFont val="Calibri"/>
        <family val="2"/>
        <scheme val="minor"/>
      </rPr>
      <t>energy</t>
    </r>
    <r>
      <rPr>
        <b/>
        <sz val="11"/>
        <color theme="1"/>
        <rFont val="Calibri"/>
        <family val="2"/>
        <scheme val="minor"/>
      </rPr>
      <t>)--dl_cpi_ener</t>
    </r>
  </si>
  <si>
    <t>Headline inflation (l_cpi = l_cpi_core + l_cpi_food +  l_cpi_ener)</t>
  </si>
  <si>
    <r>
      <t xml:space="preserve">w_y_inv     = </t>
    </r>
    <r>
      <rPr>
        <sz val="9"/>
        <color rgb="FFC00000"/>
        <rFont val="Calibri"/>
        <family val="2"/>
        <scheme val="minor"/>
      </rPr>
      <t>0.13</t>
    </r>
    <r>
      <rPr>
        <sz val="9"/>
        <color theme="1"/>
        <rFont val="Calibri"/>
        <family val="2"/>
        <scheme val="minor"/>
      </rPr>
      <t>(0.3)</t>
    </r>
  </si>
  <si>
    <r>
      <t>Agricultural output gap</t>
    </r>
    <r>
      <rPr>
        <sz val="9"/>
        <color rgb="FFC00000"/>
        <rFont val="Calibri"/>
        <family val="2"/>
        <scheme val="minor"/>
      </rPr>
      <t xml:space="preserve"> (l_y_agr_gap, negative in equation)</t>
    </r>
  </si>
  <si>
    <t>bf4 = 1.5 (0.5)</t>
  </si>
  <si>
    <r>
      <t xml:space="preserve">bf1 = 0.35 </t>
    </r>
    <r>
      <rPr>
        <sz val="9"/>
        <color rgb="FFFF0000"/>
        <rFont val="Calibri"/>
        <family val="2"/>
        <scheme val="minor"/>
      </rPr>
      <t>(0.5, faster adjustment)</t>
    </r>
  </si>
  <si>
    <r>
      <t>bf3 = 0.10 (</t>
    </r>
    <r>
      <rPr>
        <sz val="8"/>
        <color rgb="FFFF0000"/>
        <rFont val="Calibri"/>
        <family val="2"/>
        <scheme val="minor"/>
      </rPr>
      <t>0.03)</t>
    </r>
  </si>
  <si>
    <r>
      <t xml:space="preserve">be1 = 0.25 </t>
    </r>
    <r>
      <rPr>
        <sz val="9"/>
        <color rgb="FFFF0000"/>
        <rFont val="Calibri"/>
        <family val="2"/>
        <scheme val="minor"/>
      </rPr>
      <t>(0.5, faster adjustment)</t>
    </r>
  </si>
  <si>
    <t>be2 = 0.04(0.2)</t>
  </si>
  <si>
    <r>
      <t xml:space="preserve">be3 = 0.20 </t>
    </r>
    <r>
      <rPr>
        <sz val="8"/>
        <color rgb="FFFF0000"/>
        <rFont val="Calibri"/>
        <family val="2"/>
        <scheme val="minor"/>
      </rPr>
      <t>(0.03,</t>
    </r>
  </si>
  <si>
    <r>
      <t>c1 = 0.8</t>
    </r>
    <r>
      <rPr>
        <sz val="9"/>
        <color rgb="FFFF0000"/>
        <rFont val="Calibri"/>
        <family val="2"/>
        <scheme val="minor"/>
      </rPr>
      <t xml:space="preserve"> (0.5)</t>
    </r>
  </si>
  <si>
    <r>
      <rPr>
        <sz val="9"/>
        <color rgb="FFC00000"/>
        <rFont val="Calibri"/>
        <family val="2"/>
        <scheme val="minor"/>
      </rPr>
      <t>c2 =1.20, (1 - c1) * c2 = 0.16</t>
    </r>
    <r>
      <rPr>
        <sz val="9"/>
        <color theme="1"/>
        <rFont val="Calibri"/>
        <family val="2"/>
        <scheme val="minor"/>
      </rPr>
      <t xml:space="preserve"> (0.50, (1 - c1)*c2 = 0.10)</t>
    </r>
  </si>
  <si>
    <t>c3 = 0.20, (1 - c1)*c3 = 0.24 (0.50, (1 - c1)*c2 = 0.10)</t>
  </si>
  <si>
    <r>
      <t xml:space="preserve">e1 = </t>
    </r>
    <r>
      <rPr>
        <sz val="9"/>
        <color rgb="FFC00000"/>
        <rFont val="Calibri"/>
        <family val="2"/>
        <scheme val="minor"/>
      </rPr>
      <t>0.50</t>
    </r>
    <r>
      <rPr>
        <sz val="9"/>
        <color theme="1"/>
        <rFont val="Calibri"/>
        <family val="2"/>
        <scheme val="minor"/>
      </rPr>
      <t xml:space="preserve"> (0.2</t>
    </r>
    <r>
      <rPr>
        <sz val="9"/>
        <color rgb="FFFF0000"/>
        <rFont val="Calibri"/>
        <family val="2"/>
        <scheme val="minor"/>
      </rPr>
      <t>)</t>
    </r>
  </si>
  <si>
    <t>e6 = 0.85</t>
  </si>
  <si>
    <r>
      <t xml:space="preserve">e2 = </t>
    </r>
    <r>
      <rPr>
        <sz val="9"/>
        <color rgb="FFC00000"/>
        <rFont val="Calibri"/>
        <family val="2"/>
        <scheme val="minor"/>
      </rPr>
      <t xml:space="preserve">0.50, e1*e2 = 0.25 </t>
    </r>
    <r>
      <rPr>
        <sz val="9"/>
        <color theme="1"/>
        <rFont val="Calibri"/>
        <family val="2"/>
        <scheme val="minor"/>
      </rPr>
      <t>(0.2)</t>
    </r>
  </si>
  <si>
    <t>(1 - e1) = 0.50</t>
  </si>
  <si>
    <t>Targeted depr. in response to RER gap (l_z_gap, negative in equation)</t>
  </si>
  <si>
    <t>m2 = 0.5 (policy rate in deviation fr trend)</t>
  </si>
  <si>
    <t>ss_prem    =  2 (3)</t>
  </si>
  <si>
    <r>
      <t xml:space="preserve">ss_prem_debt_fcy  = </t>
    </r>
    <r>
      <rPr>
        <sz val="9"/>
        <color rgb="FFC00000"/>
        <rFont val="Calibri"/>
        <family val="2"/>
        <scheme val="minor"/>
      </rPr>
      <t>NaN</t>
    </r>
    <r>
      <rPr>
        <sz val="9"/>
        <color theme="1"/>
        <rFont val="Calibri"/>
        <family val="2"/>
        <scheme val="minor"/>
      </rPr>
      <t xml:space="preserve"> (0.5)</t>
    </r>
  </si>
  <si>
    <r>
      <t xml:space="preserve">ss_prem_debt_lcy  = </t>
    </r>
    <r>
      <rPr>
        <sz val="9"/>
        <color rgb="FFC00000"/>
        <rFont val="Calibri"/>
        <family val="2"/>
        <scheme val="minor"/>
      </rPr>
      <t>NaN</t>
    </r>
    <r>
      <rPr>
        <sz val="9"/>
        <color theme="1"/>
        <rFont val="Calibri"/>
        <family val="2"/>
        <scheme val="minor"/>
      </rPr>
      <t xml:space="preserve"> (2.8)</t>
    </r>
  </si>
  <si>
    <r>
      <t xml:space="preserve">ss_dl_v  =  100*log(1 - 2/100)  </t>
    </r>
    <r>
      <rPr>
        <sz val="9"/>
        <color theme="1"/>
        <rFont val="Calibri"/>
        <family val="2"/>
      </rPr>
      <t>≈</t>
    </r>
    <r>
      <rPr>
        <sz val="9"/>
        <color theme="1"/>
        <rFont val="Calibri"/>
        <family val="2"/>
        <scheme val="minor"/>
      </rPr>
      <t xml:space="preserve"> -2.0203</t>
    </r>
  </si>
  <si>
    <t>r_tnd = 2</t>
  </si>
  <si>
    <r>
      <t xml:space="preserve">ss_dl_y_tnd =  100*log(1 + 7.5/100) = </t>
    </r>
    <r>
      <rPr>
        <sz val="9"/>
        <color rgb="FFC00000"/>
        <rFont val="Calibri"/>
        <family val="2"/>
        <scheme val="minor"/>
      </rPr>
      <t>7.2321</t>
    </r>
  </si>
  <si>
    <r>
      <t xml:space="preserve">ss_dl_y_agr_tnd = 100*log(1 + 8/100) = </t>
    </r>
    <r>
      <rPr>
        <sz val="9"/>
        <color rgb="FFC00000"/>
        <rFont val="Calibri"/>
        <family val="2"/>
        <scheme val="minor"/>
      </rPr>
      <t>7.2321</t>
    </r>
  </si>
  <si>
    <r>
      <t xml:space="preserve">ss_d4l_cpi_tar = 100*log(1 + 5/100) = </t>
    </r>
    <r>
      <rPr>
        <sz val="9"/>
        <color rgb="FFC00000"/>
        <rFont val="Calibri"/>
        <family val="2"/>
        <scheme val="minor"/>
      </rPr>
      <t>4.879</t>
    </r>
  </si>
  <si>
    <r>
      <t>ss_dl_rp_cpi_food_tnd = 100*log(1 + 2/100) =</t>
    </r>
    <r>
      <rPr>
        <sz val="9"/>
        <color rgb="FFC00000"/>
        <rFont val="Calibri"/>
        <family val="2"/>
        <scheme val="minor"/>
      </rPr>
      <t xml:space="preserve"> </t>
    </r>
    <r>
      <rPr>
        <b/>
        <sz val="9"/>
        <color rgb="FFC00000"/>
        <rFont val="Calibri"/>
        <family val="2"/>
        <scheme val="minor"/>
      </rPr>
      <t>1.9803</t>
    </r>
  </si>
  <si>
    <r>
      <t xml:space="preserve">std_shock_l_ystar_gap         = </t>
    </r>
    <r>
      <rPr>
        <sz val="9"/>
        <color rgb="FFC00000"/>
        <rFont val="Calibri"/>
        <family val="2"/>
        <scheme val="minor"/>
      </rPr>
      <t xml:space="preserve">0.45 </t>
    </r>
    <r>
      <rPr>
        <sz val="9"/>
        <color theme="1"/>
        <rFont val="Calibri"/>
        <family val="2"/>
        <scheme val="minor"/>
      </rPr>
      <t>(0.25)</t>
    </r>
  </si>
  <si>
    <r>
      <t xml:space="preserve">gamma_k = </t>
    </r>
    <r>
      <rPr>
        <sz val="9"/>
        <color rgb="FFC00000"/>
        <rFont val="Calibri"/>
        <family val="2"/>
        <scheme val="minor"/>
      </rPr>
      <t>0.50</t>
    </r>
    <r>
      <rPr>
        <sz val="9"/>
        <color theme="1"/>
        <rFont val="Calibri"/>
        <family val="2"/>
        <scheme val="minor"/>
      </rPr>
      <t xml:space="preserve"> (0.8) </t>
    </r>
  </si>
  <si>
    <t>ss_oexp_y_str = 6, (1-u3) * ss_oexp_y_str = 0.3</t>
  </si>
  <si>
    <t>a4_cons   = 0.2 (0.3)</t>
  </si>
  <si>
    <t>Weight of RIR in RMCI (or RIR direct effect, if RMCI n.a.)</t>
  </si>
  <si>
    <t>a4_inv   = 0.2 (0.3)</t>
  </si>
  <si>
    <t>a3_exp  = 0.2 (0.1)</t>
  </si>
  <si>
    <t>a5_exp  = 0.3 (0.5)</t>
  </si>
  <si>
    <t>w_imp_cons  = 0.4457 (0.23 (0.30/1.30))</t>
  </si>
  <si>
    <t>w_imp_inv   = 0.156 (0.31 (0.40/1.30))</t>
  </si>
  <si>
    <t>w_imp_gdem  =  0.2760 (0.31 (0.40/1.30))</t>
  </si>
  <si>
    <t>w_imp_exp   = 0.1223 (0.15 (0.20/1.30))</t>
  </si>
  <si>
    <t>w_y_inv     = 0.13(0.3)</t>
  </si>
  <si>
    <t>bf1 = 0.35 (0.5, faster adjustment)</t>
  </si>
  <si>
    <t>be1 = 0.25 (0.5, faster adjustment)</t>
  </si>
  <si>
    <t>c1 = 0.8 (0.5)</t>
  </si>
  <si>
    <t>e1 = 0.50 (0.2)</t>
  </si>
  <si>
    <t>e2 = 0.50, e1*e2 = 0.25 (0.2)</t>
  </si>
  <si>
    <t>ss_debt_fcy_rat  =  0.85 (55/65)</t>
  </si>
  <si>
    <t>ss_dl_y_tnd =  100*log(1 + 7.5/100) = 7.2321</t>
  </si>
  <si>
    <t>ss_dl_y_agr_tnd = 100*log(1 + 8/100) = 7.2321</t>
  </si>
  <si>
    <t>ss_d4l_cpi_tar = 100*log(1 + 5/100) = 4.879</t>
  </si>
  <si>
    <t>ss_prem_debt_fcy  = NaN (0.5)</t>
  </si>
  <si>
    <t>ss_prem_debt_lcy  = NaN (2.8)</t>
  </si>
  <si>
    <t>ss_istar = 2 (in model: = ss of r* + CPI*)</t>
  </si>
  <si>
    <t>std_shock_l_ystar_gap         = 0.45 (0.25)</t>
  </si>
  <si>
    <r>
      <t>Weights of demand components in Output gap (</t>
    </r>
    <r>
      <rPr>
        <b/>
        <sz val="9"/>
        <rFont val="Bahnschrift"/>
        <family val="2"/>
      </rPr>
      <t>∑=1</t>
    </r>
    <r>
      <rPr>
        <b/>
        <sz val="11"/>
        <rFont val="Bahnschrift"/>
        <family val="2"/>
      </rPr>
      <t>)</t>
    </r>
  </si>
  <si>
    <r>
      <t>Phillips curve core inflation (π</t>
    </r>
    <r>
      <rPr>
        <b/>
        <vertAlign val="superscript"/>
        <sz val="11"/>
        <rFont val="Bahnschrift"/>
        <family val="2"/>
      </rPr>
      <t>core</t>
    </r>
    <r>
      <rPr>
        <b/>
        <sz val="11"/>
        <rFont val="Bahnschrift"/>
        <family val="2"/>
      </rPr>
      <t>)--dl_cpi_core</t>
    </r>
  </si>
  <si>
    <r>
      <t>Phillips curve food inflation (π</t>
    </r>
    <r>
      <rPr>
        <b/>
        <vertAlign val="superscript"/>
        <sz val="11"/>
        <rFont val="Bahnschrift"/>
        <family val="2"/>
      </rPr>
      <t>food</t>
    </r>
    <r>
      <rPr>
        <b/>
        <sz val="11"/>
        <rFont val="Bahnschrift"/>
        <family val="2"/>
      </rPr>
      <t>)--dl_cpi_food</t>
    </r>
  </si>
  <si>
    <r>
      <t>Agricultural output gap</t>
    </r>
    <r>
      <rPr>
        <sz val="9"/>
        <rFont val="Bahnschrift"/>
        <family val="2"/>
      </rPr>
      <t xml:space="preserve"> (l_y_agr_gap, negative in equation)</t>
    </r>
  </si>
  <si>
    <r>
      <t>Phillips curve energy inflation (π</t>
    </r>
    <r>
      <rPr>
        <b/>
        <vertAlign val="superscript"/>
        <sz val="11"/>
        <rFont val="Bahnschrift"/>
        <family val="2"/>
      </rPr>
      <t>energy</t>
    </r>
    <r>
      <rPr>
        <b/>
        <sz val="11"/>
        <rFont val="Bahnschrift"/>
        <family val="2"/>
      </rPr>
      <t>)--dl_cpi_ener</t>
    </r>
  </si>
  <si>
    <r>
      <t xml:space="preserve">Exchange rate depreciation </t>
    </r>
    <r>
      <rPr>
        <sz val="9"/>
        <rFont val="Bahnschrift"/>
        <family val="2"/>
      </rPr>
      <t>rate, deviation from target</t>
    </r>
  </si>
  <si>
    <r>
      <t>Consumption (=</t>
    </r>
    <r>
      <rPr>
        <u/>
        <sz val="11"/>
        <rFont val="Bahnschrift"/>
        <family val="2"/>
      </rPr>
      <t xml:space="preserve"> output trend</t>
    </r>
    <r>
      <rPr>
        <sz val="11"/>
        <rFont val="Bahnschrift"/>
        <family val="2"/>
      </rPr>
      <t xml:space="preserve"> persistence etc. )</t>
    </r>
  </si>
  <si>
    <r>
      <t xml:space="preserve">Relative price food </t>
    </r>
    <r>
      <rPr>
        <sz val="9"/>
        <rFont val="Bahnschrift"/>
        <family val="2"/>
      </rPr>
      <t>(relative to headline CPI)</t>
    </r>
  </si>
  <si>
    <r>
      <t xml:space="preserve">Relative price energy </t>
    </r>
    <r>
      <rPr>
        <sz val="9"/>
        <rFont val="Bahnschrift"/>
        <family val="2"/>
      </rPr>
      <t>(relative to headline CPI)</t>
    </r>
  </si>
  <si>
    <r>
      <t>Trend growth relative price food</t>
    </r>
    <r>
      <rPr>
        <sz val="9"/>
        <rFont val="Bahnschrift"/>
        <family val="2"/>
      </rPr>
      <t xml:space="preserve"> (relative to headline)</t>
    </r>
  </si>
  <si>
    <r>
      <t xml:space="preserve">Trend growth relative price energy </t>
    </r>
    <r>
      <rPr>
        <sz val="9"/>
        <rFont val="Bahnschrift"/>
        <family val="2"/>
      </rPr>
      <t>(relative to headline)</t>
    </r>
  </si>
  <si>
    <r>
      <t xml:space="preserve">Domestic lending premium </t>
    </r>
    <r>
      <rPr>
        <sz val="9"/>
        <rFont val="Bahnschrift"/>
        <family val="2"/>
      </rPr>
      <t>(over policy rate)</t>
    </r>
  </si>
  <si>
    <r>
      <t>Government foreign borrowing premium</t>
    </r>
    <r>
      <rPr>
        <sz val="9"/>
        <rFont val="Bahnschrift"/>
        <family val="2"/>
      </rPr>
      <t xml:space="preserve"> (discount)</t>
    </r>
  </si>
  <si>
    <r>
      <t>Government dom. borrowing premium</t>
    </r>
    <r>
      <rPr>
        <sz val="9"/>
        <rFont val="Bahnschrift"/>
        <family val="2"/>
      </rPr>
      <t xml:space="preserve"> (over policy rate)</t>
    </r>
  </si>
  <si>
    <t>ss_dl_v  =  100*log(1 - 2/100)  ≈ -2.0203</t>
  </si>
  <si>
    <r>
      <t xml:space="preserve">Trend dom.real interest rate </t>
    </r>
    <r>
      <rPr>
        <sz val="9"/>
        <rFont val="Bahnschrift"/>
        <family val="2"/>
      </rPr>
      <t>(foreign RIR+premium+RERdepr_tnd)</t>
    </r>
  </si>
  <si>
    <r>
      <t xml:space="preserve">Standard deviation </t>
    </r>
    <r>
      <rPr>
        <sz val="11"/>
        <rFont val="Bahnschrift"/>
        <family val="2"/>
      </rPr>
      <t>(σ or SE=σ/√n)</t>
    </r>
  </si>
  <si>
    <r>
      <t xml:space="preserve">Foreign output gap </t>
    </r>
    <r>
      <rPr>
        <sz val="9"/>
        <rFont val="Bahnschrift"/>
        <family val="2"/>
      </rPr>
      <t>(Rwanda trading partners)</t>
    </r>
  </si>
  <si>
    <r>
      <t>Foreign CPI</t>
    </r>
    <r>
      <rPr>
        <sz val="9"/>
        <rFont val="Bahnschrift"/>
        <family val="2"/>
      </rPr>
      <t xml:space="preserve"> (Rwanda trading partners)</t>
    </r>
  </si>
  <si>
    <t>Value</t>
  </si>
  <si>
    <t>RIR trend persistence</t>
  </si>
  <si>
    <t xml:space="preserve">gamma_k = 0.50 (0.8) </t>
  </si>
  <si>
    <r>
      <t>b1  = 0.35 (0.45 (</t>
    </r>
    <r>
      <rPr>
        <sz val="8"/>
        <rFont val="Bahnschrift Light"/>
        <family val="2"/>
      </rPr>
      <t>0.35)</t>
    </r>
  </si>
  <si>
    <r>
      <t>b3  = 0.05</t>
    </r>
    <r>
      <rPr>
        <sz val="8"/>
        <rFont val="Bahnschrift Light"/>
        <family val="2"/>
      </rPr>
      <t xml:space="preserve"> (&lt;&lt; import share =0.20 partial pass-thru, stability!)</t>
    </r>
  </si>
  <si>
    <r>
      <t>bf3 = 0.10 (</t>
    </r>
    <r>
      <rPr>
        <sz val="8"/>
        <rFont val="Bahnschrift Light"/>
        <family val="2"/>
      </rPr>
      <t>0.03)</t>
    </r>
  </si>
  <si>
    <r>
      <t xml:space="preserve">be3 = 0.20 </t>
    </r>
    <r>
      <rPr>
        <sz val="8"/>
        <rFont val="Bahnschrift Light"/>
        <family val="2"/>
      </rPr>
      <t>(0.03,</t>
    </r>
  </si>
  <si>
    <r>
      <t xml:space="preserve">ss_dl_rp_cpi_food_tnd = 100*log(1 + 2/100) = </t>
    </r>
    <r>
      <rPr>
        <b/>
        <sz val="9"/>
        <rFont val="Bahnschrift Light"/>
        <family val="2"/>
      </rPr>
      <t>1.9803</t>
    </r>
  </si>
  <si>
    <t>1 - b4 = 0.2</t>
  </si>
  <si>
    <t>c2  = 1.20, (1 - c1) * c2 = 0.16 (0.50, (1 - c1)*c2 = 0.10)</t>
  </si>
  <si>
    <t>Automatic stabilizer effect, weight of outgap</t>
  </si>
  <si>
    <t>u1 = 0</t>
  </si>
  <si>
    <t>u2 = 0.012</t>
  </si>
  <si>
    <t>I. Fiscal/budget sector</t>
  </si>
  <si>
    <t>1. Fiscal deficit (def_y = gdem_y + oexp_y - grev_y)</t>
  </si>
  <si>
    <t>1.2. Structural component (def_y_str)</t>
  </si>
  <si>
    <t>1.1. Cyclical component (def_y_cyc)</t>
  </si>
  <si>
    <t>Weight discretionary deficit</t>
  </si>
  <si>
    <t xml:space="preserve">Steady state </t>
  </si>
  <si>
    <t>Weight of RER in RMCI (or RER direct effect if RMCI n.a)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</si>
</sst>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</font>
    <font>
      <b/>
      <sz val="9"/>
      <color theme="4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name val="Bahnschrift"/>
      <family val="2"/>
    </font>
    <font>
      <sz val="9"/>
      <name val="Bahnschrift"/>
      <family val="2"/>
    </font>
    <font>
      <sz val="11"/>
      <name val="Bahnschrift"/>
      <family val="2"/>
    </font>
    <font>
      <sz val="10"/>
      <name val="Bahnschrift"/>
      <family val="2"/>
    </font>
    <font>
      <b/>
      <sz val="9"/>
      <name val="Bahnschrift"/>
      <family val="2"/>
    </font>
    <font>
      <b/>
      <vertAlign val="superscript"/>
      <sz val="11"/>
      <name val="Bahnschrift"/>
      <family val="2"/>
    </font>
    <font>
      <u/>
      <sz val="11"/>
      <name val="Bahnschrift"/>
      <family val="2"/>
    </font>
    <font>
      <b/>
      <sz val="12"/>
      <color rgb="FF0070C0"/>
      <name val="Bahnschrift"/>
      <family val="2"/>
    </font>
    <font>
      <sz val="9"/>
      <color theme="1"/>
      <name val="Bahnschrift Light"/>
      <family val="2"/>
    </font>
    <font>
      <b/>
      <sz val="9"/>
      <color theme="1"/>
      <name val="Bahnschrift Light"/>
      <family val="2"/>
    </font>
    <font>
      <sz val="9"/>
      <name val="Bahnschrift Light"/>
      <family val="2"/>
    </font>
    <font>
      <b/>
      <sz val="9"/>
      <name val="Bahnschrift Light"/>
      <family val="2"/>
    </font>
    <font>
      <sz val="8"/>
      <name val="Bahnschrift Light"/>
      <family val="2"/>
    </font>
    <font>
      <sz val="11"/>
      <name val="Bahnschrift Light"/>
      <family val="2"/>
    </font>
    <font>
      <b/>
      <sz val="12"/>
      <color rgb="FF0070C0"/>
      <name val="Bahnschrift 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slantDashDot">
        <color indexed="64"/>
      </left>
      <right style="slantDashDot">
        <color indexed="64"/>
      </right>
      <top/>
      <bottom/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double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double">
        <color indexed="64"/>
      </bottom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/>
      <bottom style="slantDashDot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quotePrefix="1" applyFont="1"/>
    <xf numFmtId="0" fontId="9" fillId="0" borderId="0" xfId="0" applyFont="1" applyAlignment="1">
      <alignment horizontal="left"/>
    </xf>
    <xf numFmtId="0" fontId="14" fillId="0" borderId="0" xfId="0" quotePrefix="1" applyFont="1" applyAlignment="1">
      <alignment horizontal="right"/>
    </xf>
    <xf numFmtId="0" fontId="9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17" fillId="0" borderId="0" xfId="0" applyFont="1" applyAlignment="1">
      <alignment horizontal="right"/>
    </xf>
    <xf numFmtId="2" fontId="0" fillId="0" borderId="0" xfId="0" applyNumberFormat="1"/>
    <xf numFmtId="2" fontId="9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quotePrefix="1" applyFont="1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2" fontId="19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0" fontId="24" fillId="0" borderId="0" xfId="0" applyFont="1"/>
    <xf numFmtId="0" fontId="25" fillId="0" borderId="0" xfId="0" applyFont="1" applyAlignment="1">
      <alignment horizontal="right"/>
    </xf>
    <xf numFmtId="0" fontId="0" fillId="0" borderId="3" xfId="0" applyBorder="1"/>
    <xf numFmtId="2" fontId="24" fillId="0" borderId="0" xfId="0" applyNumberFormat="1" applyFont="1"/>
    <xf numFmtId="0" fontId="24" fillId="0" borderId="0" xfId="0" applyFont="1" applyAlignment="1">
      <alignment horizontal="right"/>
    </xf>
    <xf numFmtId="0" fontId="24" fillId="0" borderId="1" xfId="0" applyFont="1" applyBorder="1"/>
    <xf numFmtId="0" fontId="24" fillId="0" borderId="4" xfId="0" applyFont="1" applyBorder="1"/>
    <xf numFmtId="0" fontId="27" fillId="0" borderId="0" xfId="0" applyFont="1"/>
    <xf numFmtId="0" fontId="28" fillId="0" borderId="0" xfId="0" applyFont="1" applyAlignment="1">
      <alignment horizontal="center"/>
    </xf>
    <xf numFmtId="0" fontId="14" fillId="0" borderId="0" xfId="0" applyFont="1"/>
    <xf numFmtId="0" fontId="31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/>
    <xf numFmtId="0" fontId="25" fillId="0" borderId="0" xfId="0" applyFont="1"/>
    <xf numFmtId="0" fontId="32" fillId="0" borderId="0" xfId="0" quotePrefix="1" applyFont="1"/>
    <xf numFmtId="0" fontId="1" fillId="3" borderId="0" xfId="0" applyFont="1" applyFill="1"/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3" borderId="0" xfId="0" applyFont="1" applyFill="1"/>
    <xf numFmtId="2" fontId="0" fillId="3" borderId="0" xfId="0" applyNumberFormat="1" applyFill="1" applyAlignment="1">
      <alignment horizontal="right"/>
    </xf>
    <xf numFmtId="0" fontId="0" fillId="3" borderId="0" xfId="0" quotePrefix="1" applyFill="1" applyAlignment="1">
      <alignment horizontal="right"/>
    </xf>
    <xf numFmtId="2" fontId="9" fillId="3" borderId="0" xfId="0" applyNumberFormat="1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24" fillId="3" borderId="0" xfId="0" applyFont="1" applyFill="1"/>
    <xf numFmtId="0" fontId="3" fillId="3" borderId="0" xfId="0" applyFont="1" applyFill="1"/>
    <xf numFmtId="0" fontId="3" fillId="3" borderId="0" xfId="0" quotePrefix="1" applyFont="1" applyFill="1"/>
    <xf numFmtId="0" fontId="18" fillId="3" borderId="0" xfId="0" applyFont="1" applyFill="1" applyAlignment="1">
      <alignment horizontal="right"/>
    </xf>
    <xf numFmtId="0" fontId="19" fillId="3" borderId="0" xfId="0" applyFont="1" applyFill="1" applyAlignment="1">
      <alignment horizontal="right"/>
    </xf>
    <xf numFmtId="2" fontId="19" fillId="3" borderId="0" xfId="0" applyNumberFormat="1" applyFont="1" applyFill="1" applyAlignment="1">
      <alignment horizontal="right"/>
    </xf>
    <xf numFmtId="2" fontId="3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center"/>
    </xf>
    <xf numFmtId="0" fontId="42" fillId="0" borderId="0" xfId="0" applyFont="1"/>
    <xf numFmtId="0" fontId="7" fillId="0" borderId="5" xfId="0" applyFont="1" applyBorder="1"/>
    <xf numFmtId="0" fontId="34" fillId="0" borderId="5" xfId="0" applyFont="1" applyBorder="1"/>
    <xf numFmtId="0" fontId="36" fillId="0" borderId="5" xfId="0" applyFont="1" applyBorder="1" applyAlignment="1">
      <alignment wrapText="1"/>
    </xf>
    <xf numFmtId="0" fontId="36" fillId="0" borderId="5" xfId="0" applyFont="1" applyBorder="1"/>
    <xf numFmtId="0" fontId="37" fillId="0" borderId="5" xfId="0" applyFont="1" applyBorder="1"/>
    <xf numFmtId="0" fontId="0" fillId="0" borderId="5" xfId="0" applyBorder="1"/>
    <xf numFmtId="0" fontId="0" fillId="0" borderId="6" xfId="0" applyBorder="1"/>
    <xf numFmtId="0" fontId="41" fillId="0" borderId="7" xfId="0" applyFont="1" applyBorder="1" applyAlignment="1">
      <alignment horizontal="left"/>
    </xf>
    <xf numFmtId="0" fontId="48" fillId="0" borderId="8" xfId="0" applyFont="1" applyBorder="1" applyAlignment="1">
      <alignment horizontal="left"/>
    </xf>
    <xf numFmtId="0" fontId="43" fillId="0" borderId="9" xfId="0" applyFont="1" applyBorder="1"/>
    <xf numFmtId="0" fontId="44" fillId="0" borderId="9" xfId="0" applyFont="1" applyBorder="1"/>
    <xf numFmtId="0" fontId="44" fillId="0" borderId="9" xfId="0" quotePrefix="1" applyFont="1" applyBorder="1"/>
    <xf numFmtId="0" fontId="44" fillId="0" borderId="9" xfId="0" applyFont="1" applyBorder="1" applyAlignment="1">
      <alignment horizontal="left"/>
    </xf>
    <xf numFmtId="0" fontId="47" fillId="0" borderId="9" xfId="0" applyFont="1" applyBorder="1" applyAlignment="1">
      <alignment horizontal="left"/>
    </xf>
    <xf numFmtId="0" fontId="45" fillId="0" borderId="9" xfId="0" applyFont="1" applyBorder="1" applyAlignment="1">
      <alignment horizontal="left"/>
    </xf>
    <xf numFmtId="0" fontId="42" fillId="0" borderId="9" xfId="0" applyFont="1" applyBorder="1"/>
    <xf numFmtId="0" fontId="4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2398568</xdr:colOff>
      <xdr:row>30</xdr:row>
      <xdr:rowOff>63500</xdr:rowOff>
    </xdr:from>
    <xdr:to>
      <xdr:col>0</xdr:col>
      <xdr:colOff>2464954</xdr:colOff>
      <xdr:row>30</xdr:row>
      <xdr:rowOff>150091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7DA27E78-D334-497D-8267-226F79EE34F9}"/>
            </a:ext>
          </a:extLst>
        </xdr:cNvPr>
        <xdr:cNvSpPr/>
      </xdr:nvSpPr>
      <xdr:spPr>
        <a:xfrm>
          <a:off x="2398568" y="5683250"/>
          <a:ext cx="66386" cy="86591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RW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2398568</xdr:colOff>
      <xdr:row>27</xdr:row>
      <xdr:rowOff>63500</xdr:rowOff>
    </xdr:from>
    <xdr:to>
      <xdr:col>1</xdr:col>
      <xdr:colOff>2464954</xdr:colOff>
      <xdr:row>27</xdr:row>
      <xdr:rowOff>150091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CAC3D757-CE48-0777-C466-D2D883D85DA2}"/>
            </a:ext>
          </a:extLst>
        </xdr:cNvPr>
        <xdr:cNvSpPr/>
      </xdr:nvSpPr>
      <xdr:spPr>
        <a:xfrm>
          <a:off x="2398568" y="5691909"/>
          <a:ext cx="66386" cy="86591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RW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4713-EB19-4CF2-B423-1946DFA71225}">
  <dimension ref="A1:L237"/>
  <sheetViews>
    <sheetView zoomScale="110" zoomScaleNormal="110" workbookViewId="0">
      <selection activeCell="A10" sqref="A10"/>
    </sheetView>
  </sheetViews>
  <sheetFormatPr defaultRowHeight="14.75" outlineLevelRow="1" outlineLevelCol="2"/>
  <cols>
    <col min="1" max="1" width="50.81640625" customWidth="1"/>
    <col min="2" max="2" width="32.36328125" style="2" customWidth="1"/>
    <col min="3" max="3" width="14.6328125" style="9" customWidth="1" outlineLevel="2"/>
    <col min="4" max="4" width="13.90625" customWidth="1" outlineLevel="2"/>
    <col min="5" max="7" width="12.6328125" customWidth="1" outlineLevel="2"/>
    <col min="8" max="8" width="15.36328125" style="9" customWidth="1" outlineLevel="2"/>
    <col min="9" max="9" width="12.6328125" customWidth="1" outlineLevel="2"/>
    <col min="10" max="10" width="12.6328125" style="9" customWidth="1" outlineLevel="2"/>
    <col min="11" max="11" width="12.6328125" customWidth="1"/>
    <col min="12" max="12" width="13.6328125" customWidth="1"/>
  </cols>
  <sheetData>
    <row r="1" spans="1:12">
      <c r="A1" t="s">
        <v>230</v>
      </c>
    </row>
    <row r="2" spans="1:12">
      <c r="B2" s="7" t="s">
        <v>1</v>
      </c>
      <c r="E2" s="3"/>
      <c r="F2" s="3"/>
      <c r="G2" s="3"/>
      <c r="H2" s="10"/>
    </row>
    <row r="3" spans="1:12">
      <c r="B3" s="7"/>
      <c r="C3" s="10"/>
      <c r="D3" s="4"/>
      <c r="E3" s="4"/>
      <c r="F3" s="4"/>
      <c r="G3" s="4"/>
      <c r="H3" s="4"/>
      <c r="I3" s="4"/>
      <c r="J3" s="4"/>
      <c r="K3" s="29"/>
    </row>
    <row r="4" spans="1:12">
      <c r="A4" s="8" t="s">
        <v>310</v>
      </c>
      <c r="B4" s="8" t="s">
        <v>299</v>
      </c>
      <c r="C4" s="23" t="s">
        <v>6</v>
      </c>
      <c r="D4" s="6" t="s">
        <v>7</v>
      </c>
      <c r="E4" s="6" t="s">
        <v>4</v>
      </c>
      <c r="F4" s="6" t="s">
        <v>5</v>
      </c>
      <c r="G4" s="6" t="s">
        <v>263</v>
      </c>
      <c r="H4" s="5" t="s">
        <v>220</v>
      </c>
      <c r="I4" s="50" t="s">
        <v>8</v>
      </c>
      <c r="J4" s="5" t="s">
        <v>239</v>
      </c>
      <c r="K4" s="5" t="s">
        <v>231</v>
      </c>
      <c r="L4" s="5"/>
    </row>
    <row r="5" spans="1:12" s="7" customFormat="1">
      <c r="C5" s="18" t="s">
        <v>2</v>
      </c>
      <c r="D5" s="75" t="s">
        <v>3</v>
      </c>
      <c r="E5" s="75">
        <v>2013</v>
      </c>
      <c r="F5" s="75">
        <v>2011</v>
      </c>
      <c r="G5" s="75" t="s">
        <v>262</v>
      </c>
      <c r="H5" s="18" t="s">
        <v>245</v>
      </c>
      <c r="I5" s="75" t="s">
        <v>282</v>
      </c>
      <c r="J5" s="18">
        <v>2006</v>
      </c>
      <c r="K5" s="75" t="s">
        <v>272</v>
      </c>
      <c r="L5" s="1"/>
    </row>
    <row r="6" spans="1:12">
      <c r="A6" s="56" t="s">
        <v>307</v>
      </c>
      <c r="K6" s="13" t="str">
        <f>+D38</f>
        <v>n.a.</v>
      </c>
    </row>
    <row r="7" spans="1:12">
      <c r="A7" s="1" t="s">
        <v>335</v>
      </c>
      <c r="K7" s="13"/>
    </row>
    <row r="8" spans="1:12">
      <c r="A8" s="1" t="s">
        <v>311</v>
      </c>
      <c r="K8" s="13"/>
    </row>
    <row r="9" spans="1:12">
      <c r="A9" s="1" t="s">
        <v>308</v>
      </c>
      <c r="K9" s="13"/>
    </row>
    <row r="10" spans="1:12">
      <c r="A10" t="s">
        <v>302</v>
      </c>
      <c r="B10" s="2" t="s">
        <v>443</v>
      </c>
      <c r="C10" s="13">
        <v>0.4</v>
      </c>
      <c r="D10" s="13" t="s">
        <v>250</v>
      </c>
      <c r="G10" s="13" t="str">
        <f>+D10</f>
        <v>n.a.</v>
      </c>
    </row>
    <row r="11" spans="1:12">
      <c r="A11" t="s">
        <v>303</v>
      </c>
      <c r="B11" s="55" t="s">
        <v>331</v>
      </c>
      <c r="C11" s="13" t="s">
        <v>241</v>
      </c>
      <c r="G11" s="9"/>
    </row>
    <row r="12" spans="1:12">
      <c r="A12" s="1" t="s">
        <v>309</v>
      </c>
      <c r="C12" s="13"/>
      <c r="G12" s="9"/>
    </row>
    <row r="13" spans="1:12">
      <c r="A13" s="42" t="s">
        <v>312</v>
      </c>
      <c r="B13" s="55" t="s">
        <v>305</v>
      </c>
      <c r="C13" s="13"/>
      <c r="G13" s="9"/>
    </row>
    <row r="14" spans="1:12">
      <c r="A14" s="42" t="s">
        <v>313</v>
      </c>
      <c r="B14" s="55" t="s">
        <v>304</v>
      </c>
      <c r="C14" s="13"/>
      <c r="G14" s="9"/>
    </row>
    <row r="15" spans="1:12">
      <c r="A15" s="42" t="s">
        <v>314</v>
      </c>
      <c r="B15" s="55" t="s">
        <v>306</v>
      </c>
      <c r="C15" s="13"/>
      <c r="G15" s="9"/>
    </row>
    <row r="16" spans="1:12">
      <c r="A16" s="1" t="s">
        <v>315</v>
      </c>
    </row>
    <row r="17" spans="1:7">
      <c r="A17" s="42" t="s">
        <v>303</v>
      </c>
      <c r="B17" s="55" t="s">
        <v>316</v>
      </c>
    </row>
    <row r="18" spans="1:7">
      <c r="A18" s="42" t="s">
        <v>318</v>
      </c>
      <c r="B18" s="55" t="s">
        <v>317</v>
      </c>
    </row>
    <row r="19" spans="1:7">
      <c r="A19" s="42"/>
      <c r="B19" s="55"/>
      <c r="C19" s="13"/>
      <c r="G19" s="9"/>
    </row>
    <row r="20" spans="1:7">
      <c r="A20" s="1" t="s">
        <v>324</v>
      </c>
      <c r="B20" s="19"/>
      <c r="C20" s="13"/>
      <c r="G20" s="9"/>
    </row>
    <row r="21" spans="1:7">
      <c r="A21" s="1" t="s">
        <v>319</v>
      </c>
      <c r="B21" s="19"/>
      <c r="C21" s="13"/>
      <c r="G21" s="9"/>
    </row>
    <row r="22" spans="1:7">
      <c r="A22" t="s">
        <v>303</v>
      </c>
      <c r="B22" s="55" t="s">
        <v>320</v>
      </c>
      <c r="C22" s="9">
        <v>0.75</v>
      </c>
      <c r="G22" s="9"/>
    </row>
    <row r="23" spans="1:7">
      <c r="A23" t="s">
        <v>321</v>
      </c>
      <c r="B23" s="55" t="s">
        <v>388</v>
      </c>
      <c r="C23" s="13" t="s">
        <v>241</v>
      </c>
      <c r="G23" s="9"/>
    </row>
    <row r="24" spans="1:7">
      <c r="A24" s="1" t="s">
        <v>309</v>
      </c>
      <c r="B24" s="55"/>
      <c r="C24" s="13"/>
      <c r="G24" s="9"/>
    </row>
    <row r="25" spans="1:7">
      <c r="A25" s="42" t="s">
        <v>303</v>
      </c>
      <c r="B25" s="55" t="s">
        <v>322</v>
      </c>
    </row>
    <row r="26" spans="1:7">
      <c r="A26" t="s">
        <v>321</v>
      </c>
      <c r="B26" s="55" t="s">
        <v>332</v>
      </c>
    </row>
    <row r="27" spans="1:7">
      <c r="A27" s="1" t="s">
        <v>353</v>
      </c>
    </row>
    <row r="28" spans="1:7">
      <c r="A28" t="s">
        <v>303</v>
      </c>
      <c r="B28" s="55" t="s">
        <v>323</v>
      </c>
    </row>
    <row r="29" spans="1:7">
      <c r="A29" t="s">
        <v>321</v>
      </c>
      <c r="B29" s="55" t="s">
        <v>333</v>
      </c>
    </row>
    <row r="31" spans="1:7">
      <c r="A31" s="1" t="s">
        <v>329</v>
      </c>
      <c r="C31" s="13"/>
      <c r="G31" s="9"/>
    </row>
    <row r="32" spans="1:7">
      <c r="A32" t="s">
        <v>327</v>
      </c>
      <c r="B32" s="2" t="s">
        <v>326</v>
      </c>
      <c r="C32" s="13">
        <v>0.5</v>
      </c>
      <c r="G32" s="9"/>
    </row>
    <row r="33" spans="1:11">
      <c r="A33" s="1" t="s">
        <v>328</v>
      </c>
      <c r="C33" s="13"/>
      <c r="G33" s="9"/>
    </row>
    <row r="34" spans="1:11">
      <c r="A34" t="s">
        <v>303</v>
      </c>
      <c r="B34" s="2" t="s">
        <v>330</v>
      </c>
      <c r="C34" s="9">
        <v>0.75</v>
      </c>
      <c r="G34" s="9"/>
    </row>
    <row r="35" spans="1:11">
      <c r="A35" s="42" t="s">
        <v>325</v>
      </c>
      <c r="B35" s="54" t="s">
        <v>334</v>
      </c>
      <c r="G35" s="9"/>
    </row>
    <row r="36" spans="1:11">
      <c r="A36" s="42"/>
      <c r="B36" s="54"/>
      <c r="G36" s="9"/>
    </row>
    <row r="37" spans="1:11">
      <c r="A37" s="1" t="s">
        <v>352</v>
      </c>
      <c r="G37" s="9"/>
    </row>
    <row r="38" spans="1:11">
      <c r="A38" s="1" t="s">
        <v>351</v>
      </c>
      <c r="C38" s="13" t="str">
        <f>+D38</f>
        <v>n.a.</v>
      </c>
      <c r="D38" s="13" t="s">
        <v>250</v>
      </c>
      <c r="G38" s="13" t="str">
        <f>+D38</f>
        <v>n.a.</v>
      </c>
      <c r="K38" s="13" t="str">
        <f>+C38</f>
        <v>n.a.</v>
      </c>
    </row>
    <row r="39" spans="1:11">
      <c r="A39" t="s">
        <v>9</v>
      </c>
      <c r="B39" s="2" t="s">
        <v>13</v>
      </c>
      <c r="E39" s="31">
        <v>0.55000000000000004</v>
      </c>
      <c r="F39" s="42">
        <v>0.9</v>
      </c>
      <c r="G39" s="9"/>
    </row>
    <row r="40" spans="1:11">
      <c r="A40" t="s">
        <v>10</v>
      </c>
      <c r="B40" s="2" t="s">
        <v>14</v>
      </c>
      <c r="E40" s="31">
        <f>1-E39</f>
        <v>0.44999999999999996</v>
      </c>
      <c r="F40" s="42">
        <f>1-F39</f>
        <v>9.9999999999999978E-2</v>
      </c>
      <c r="G40" s="9"/>
    </row>
    <row r="41" spans="1:11">
      <c r="A41" t="s">
        <v>29</v>
      </c>
      <c r="B41" s="2" t="s">
        <v>15</v>
      </c>
      <c r="E41" s="32" t="s">
        <v>250</v>
      </c>
      <c r="F41" s="13" t="s">
        <v>250</v>
      </c>
      <c r="G41" s="9"/>
    </row>
    <row r="42" spans="1:11">
      <c r="A42" t="s">
        <v>11</v>
      </c>
      <c r="B42" s="2" t="s">
        <v>337</v>
      </c>
      <c r="E42" s="31">
        <v>7.1999999999999995E-2</v>
      </c>
      <c r="F42" s="42">
        <v>0.3</v>
      </c>
      <c r="G42" s="9"/>
    </row>
    <row r="43" spans="1:11">
      <c r="A43" t="s">
        <v>12</v>
      </c>
      <c r="B43" s="2" t="s">
        <v>336</v>
      </c>
      <c r="E43" s="32" t="s">
        <v>250</v>
      </c>
      <c r="F43" s="32" t="s">
        <v>250</v>
      </c>
      <c r="G43" s="9"/>
    </row>
    <row r="44" spans="1:11">
      <c r="A44" t="s">
        <v>278</v>
      </c>
      <c r="B44" s="2" t="s">
        <v>290</v>
      </c>
      <c r="E44" s="40">
        <v>-4.9000000000000002E-2</v>
      </c>
      <c r="F44" s="42">
        <v>-0.2</v>
      </c>
      <c r="G44" s="9"/>
    </row>
    <row r="45" spans="1:11">
      <c r="A45" s="3" t="s">
        <v>279</v>
      </c>
      <c r="E45" s="40">
        <v>-7.8E-2</v>
      </c>
      <c r="F45" s="42">
        <f>F42*(-0.1)</f>
        <v>-0.03</v>
      </c>
      <c r="G45" s="9"/>
    </row>
    <row r="46" spans="1:11">
      <c r="A46" s="3"/>
      <c r="E46" s="40"/>
      <c r="F46" s="42"/>
      <c r="G46" s="9"/>
    </row>
    <row r="47" spans="1:11">
      <c r="A47" s="1" t="s">
        <v>350</v>
      </c>
      <c r="C47" s="13" t="str">
        <f>+D47</f>
        <v>n.a.</v>
      </c>
      <c r="D47" s="13" t="s">
        <v>250</v>
      </c>
      <c r="G47" s="13" t="str">
        <f>+D47</f>
        <v>n.a.</v>
      </c>
      <c r="K47" s="13" t="str">
        <f>+C47</f>
        <v>n.a.</v>
      </c>
    </row>
    <row r="48" spans="1:11">
      <c r="A48" t="str">
        <f t="shared" ref="A48:A53" si="0">+A39</f>
        <v>Lag, persistence (AR1)</v>
      </c>
      <c r="B48" s="2" t="s">
        <v>18</v>
      </c>
      <c r="E48">
        <v>0.5</v>
      </c>
      <c r="G48" s="9"/>
    </row>
    <row r="49" spans="1:11">
      <c r="A49" t="str">
        <f t="shared" si="0"/>
        <v>Expectation (t+1)</v>
      </c>
      <c r="B49" s="2" t="s">
        <v>19</v>
      </c>
      <c r="E49">
        <f>1-E48</f>
        <v>0.5</v>
      </c>
      <c r="G49" s="9"/>
    </row>
    <row r="50" spans="1:11">
      <c r="A50" t="str">
        <f t="shared" si="0"/>
        <v>Real Monetary Conditions Index (RMCI)</v>
      </c>
      <c r="B50" s="2" t="s">
        <v>287</v>
      </c>
      <c r="E50" s="13" t="s">
        <v>250</v>
      </c>
      <c r="G50" s="9"/>
    </row>
    <row r="51" spans="1:11">
      <c r="A51" t="str">
        <f t="shared" si="0"/>
        <v>Output gap</v>
      </c>
      <c r="B51" s="2" t="s">
        <v>338</v>
      </c>
      <c r="E51">
        <v>0.1</v>
      </c>
      <c r="G51" s="9"/>
    </row>
    <row r="52" spans="1:11">
      <c r="A52" t="str">
        <f t="shared" si="0"/>
        <v>Fiscal impulse</v>
      </c>
      <c r="B52" s="2" t="s">
        <v>339</v>
      </c>
      <c r="E52" s="13" t="s">
        <v>250</v>
      </c>
      <c r="G52" s="9"/>
    </row>
    <row r="53" spans="1:11">
      <c r="A53" t="str">
        <f t="shared" si="0"/>
        <v>Weight of RIR in RMCI (or RIR direct effect, if RMCI n.a.)</v>
      </c>
      <c r="B53" s="2" t="s">
        <v>291</v>
      </c>
      <c r="E53">
        <f>0.05*0.2</f>
        <v>1.0000000000000002E-2</v>
      </c>
      <c r="G53" s="9"/>
    </row>
    <row r="54" spans="1:11">
      <c r="G54" s="9"/>
    </row>
    <row r="55" spans="1:11">
      <c r="G55" s="9"/>
    </row>
    <row r="56" spans="1:11">
      <c r="A56" s="1" t="s">
        <v>349</v>
      </c>
      <c r="C56" s="13" t="str">
        <f>+D56</f>
        <v>n.a.</v>
      </c>
      <c r="D56" s="13" t="s">
        <v>250</v>
      </c>
      <c r="G56" s="13" t="str">
        <f>+D56</f>
        <v>n.a.</v>
      </c>
      <c r="K56" s="13" t="str">
        <f>+C56</f>
        <v>n.a.</v>
      </c>
    </row>
    <row r="57" spans="1:11">
      <c r="A57" t="str">
        <f>+A39</f>
        <v>Lag, persistence (AR1)</v>
      </c>
      <c r="B57" s="2" t="s">
        <v>21</v>
      </c>
      <c r="E57">
        <v>0.6</v>
      </c>
      <c r="F57" s="42">
        <v>0.5</v>
      </c>
      <c r="G57" s="9"/>
    </row>
    <row r="58" spans="1:11">
      <c r="A58" t="str">
        <f>+A40</f>
        <v>Expectation (t+1)</v>
      </c>
      <c r="B58" s="2" t="s">
        <v>22</v>
      </c>
      <c r="E58">
        <f>1-E57</f>
        <v>0.4</v>
      </c>
      <c r="F58" s="42">
        <f>1-F57</f>
        <v>0.5</v>
      </c>
      <c r="G58" s="9"/>
    </row>
    <row r="59" spans="1:11">
      <c r="A59" t="str">
        <f>+A41</f>
        <v>Real Monetary Conditions Index (RMCI)</v>
      </c>
      <c r="B59" s="2" t="s">
        <v>341</v>
      </c>
      <c r="E59" s="13" t="s">
        <v>250</v>
      </c>
      <c r="F59" s="13" t="s">
        <v>250</v>
      </c>
      <c r="G59" s="9"/>
    </row>
    <row r="60" spans="1:11">
      <c r="A60" t="s">
        <v>20</v>
      </c>
      <c r="B60" s="2" t="s">
        <v>342</v>
      </c>
      <c r="E60">
        <v>0.25</v>
      </c>
      <c r="F60" s="42">
        <v>0.1</v>
      </c>
      <c r="G60" s="9"/>
    </row>
    <row r="61" spans="1:11">
      <c r="A61" t="str">
        <f>+A53</f>
        <v>Weight of RIR in RMCI (or RIR direct effect, if RMCI n.a.)</v>
      </c>
      <c r="B61" s="2" t="s">
        <v>23</v>
      </c>
      <c r="F61" s="46" t="str">
        <f>+F59</f>
        <v>n.a.</v>
      </c>
      <c r="G61" s="9"/>
    </row>
    <row r="62" spans="1:11">
      <c r="A62" s="3" t="s">
        <v>280</v>
      </c>
      <c r="B62" s="57" t="s">
        <v>340</v>
      </c>
      <c r="E62" s="39">
        <v>0.08</v>
      </c>
      <c r="F62" s="42">
        <f>3*F60</f>
        <v>0.30000000000000004</v>
      </c>
      <c r="G62" s="9"/>
    </row>
    <row r="63" spans="1:11">
      <c r="A63" s="3"/>
      <c r="F63" s="42"/>
      <c r="G63" s="9"/>
    </row>
    <row r="64" spans="1:11">
      <c r="A64" s="1" t="s">
        <v>348</v>
      </c>
      <c r="C64" s="13" t="str">
        <f>+D64</f>
        <v>n.a.?</v>
      </c>
      <c r="D64" s="13" t="s">
        <v>275</v>
      </c>
      <c r="G64" s="13" t="s">
        <v>250</v>
      </c>
      <c r="K64" s="13" t="str">
        <f>+C64</f>
        <v>n.a.?</v>
      </c>
    </row>
    <row r="65" spans="1:11">
      <c r="A65" t="s">
        <v>25</v>
      </c>
      <c r="B65" s="2" t="s">
        <v>343</v>
      </c>
      <c r="E65" s="39">
        <f>0.37*0.8</f>
        <v>0.29599999999999999</v>
      </c>
      <c r="F65" s="47">
        <v>0.7</v>
      </c>
      <c r="G65" s="9"/>
    </row>
    <row r="66" spans="1:11">
      <c r="A66" t="s">
        <v>26</v>
      </c>
      <c r="B66" s="2" t="s">
        <v>344</v>
      </c>
      <c r="E66" s="39">
        <v>0.1</v>
      </c>
      <c r="F66" s="48">
        <f>1-F65</f>
        <v>0.30000000000000004</v>
      </c>
      <c r="G66" s="9"/>
    </row>
    <row r="67" spans="1:11">
      <c r="A67" t="s">
        <v>27</v>
      </c>
      <c r="B67" s="2" t="s">
        <v>345</v>
      </c>
      <c r="E67" s="39">
        <v>0.03</v>
      </c>
      <c r="F67" s="42"/>
      <c r="G67" s="9"/>
    </row>
    <row r="68" spans="1:11">
      <c r="A68" t="s">
        <v>28</v>
      </c>
      <c r="B68" s="2" t="s">
        <v>346</v>
      </c>
      <c r="E68" s="39">
        <f>(1-0.37-0.1-0.03)</f>
        <v>0.5</v>
      </c>
      <c r="F68" s="42"/>
      <c r="G68" s="9"/>
    </row>
    <row r="69" spans="1:11">
      <c r="A69" t="s">
        <v>24</v>
      </c>
      <c r="B69" s="2" t="s">
        <v>292</v>
      </c>
      <c r="E69" s="39">
        <f>-0.37*0.1</f>
        <v>-3.6999999999999998E-2</v>
      </c>
      <c r="F69" s="42">
        <v>-0.2</v>
      </c>
      <c r="G69" s="9"/>
    </row>
    <row r="70" spans="1:11">
      <c r="A70" t="s">
        <v>0</v>
      </c>
      <c r="B70" s="2" t="s">
        <v>0</v>
      </c>
      <c r="G70" s="9"/>
    </row>
    <row r="71" spans="1:11" s="61" customFormat="1">
      <c r="A71" s="58" t="s">
        <v>354</v>
      </c>
      <c r="B71" s="59" t="s">
        <v>288</v>
      </c>
      <c r="C71" s="60" t="s">
        <v>248</v>
      </c>
      <c r="D71" s="60" t="str">
        <f>+$C71</f>
        <v>IS eq. used</v>
      </c>
      <c r="G71" s="60" t="str">
        <f>+$C71</f>
        <v>IS eq. used</v>
      </c>
      <c r="H71" s="60" t="str">
        <f>+$C71</f>
        <v>IS eq. used</v>
      </c>
      <c r="J71" s="62"/>
      <c r="K71" s="60" t="str">
        <f>+C71</f>
        <v>IS eq. used</v>
      </c>
    </row>
    <row r="72" spans="1:11" s="61" customFormat="1">
      <c r="A72" s="61" t="str">
        <f>+A39</f>
        <v>Lag, persistence (AR1)</v>
      </c>
      <c r="B72" s="63" t="s">
        <v>39</v>
      </c>
      <c r="C72" s="62">
        <v>0.75</v>
      </c>
      <c r="D72" s="61">
        <v>0.69</v>
      </c>
      <c r="G72" s="64">
        <v>0.6</v>
      </c>
      <c r="H72" s="64">
        <v>0.65</v>
      </c>
      <c r="I72" s="61">
        <v>0.7</v>
      </c>
      <c r="J72" s="65" t="s">
        <v>235</v>
      </c>
      <c r="K72" s="61">
        <v>0.6</v>
      </c>
    </row>
    <row r="73" spans="1:11" s="61" customFormat="1">
      <c r="A73" s="61" t="str">
        <f>+A40</f>
        <v>Expectation (t+1)</v>
      </c>
      <c r="B73" s="63" t="s">
        <v>40</v>
      </c>
      <c r="C73" s="62">
        <v>0</v>
      </c>
      <c r="G73" s="64">
        <v>0.15</v>
      </c>
      <c r="H73" s="66" t="s">
        <v>250</v>
      </c>
      <c r="J73" s="62">
        <v>0.1</v>
      </c>
      <c r="K73" s="61">
        <v>7.0000000000000007E-2</v>
      </c>
    </row>
    <row r="74" spans="1:11" s="61" customFormat="1">
      <c r="A74" s="61" t="s">
        <v>29</v>
      </c>
      <c r="B74" s="63" t="s">
        <v>246</v>
      </c>
      <c r="C74" s="67">
        <v>-0.1</v>
      </c>
      <c r="D74" s="61">
        <v>-0.47</v>
      </c>
      <c r="G74" s="64">
        <v>-0.15</v>
      </c>
      <c r="H74" s="64">
        <v>-0.15</v>
      </c>
      <c r="I74" s="61">
        <v>-0.2</v>
      </c>
      <c r="J74" s="66" t="s">
        <v>250</v>
      </c>
    </row>
    <row r="75" spans="1:11" s="61" customFormat="1">
      <c r="A75" s="61" t="s">
        <v>12</v>
      </c>
      <c r="B75" s="63" t="s">
        <v>41</v>
      </c>
      <c r="C75" s="62">
        <v>0.3</v>
      </c>
      <c r="G75" s="64"/>
      <c r="H75" s="66" t="s">
        <v>250</v>
      </c>
      <c r="J75" s="62"/>
      <c r="K75" s="67" t="s">
        <v>250</v>
      </c>
    </row>
    <row r="76" spans="1:11" s="61" customFormat="1">
      <c r="A76" s="61" t="s">
        <v>30</v>
      </c>
      <c r="B76" s="63" t="s">
        <v>42</v>
      </c>
      <c r="C76" s="62">
        <v>0.3</v>
      </c>
      <c r="D76" s="61">
        <v>0.05</v>
      </c>
      <c r="G76" s="64">
        <v>0.15</v>
      </c>
      <c r="H76" s="64">
        <v>0.15</v>
      </c>
      <c r="I76" s="61">
        <v>0.15</v>
      </c>
      <c r="J76" s="62">
        <v>0.25</v>
      </c>
      <c r="K76" s="61">
        <v>0.04</v>
      </c>
    </row>
    <row r="77" spans="1:11" s="61" customFormat="1">
      <c r="A77" s="61" t="s">
        <v>234</v>
      </c>
      <c r="B77" s="63" t="s">
        <v>247</v>
      </c>
      <c r="C77" s="62">
        <v>0.5</v>
      </c>
      <c r="D77" s="61">
        <v>0.7</v>
      </c>
      <c r="F77" s="68">
        <v>0.2</v>
      </c>
      <c r="G77" s="64">
        <v>0.95</v>
      </c>
      <c r="H77" s="64">
        <v>0.4</v>
      </c>
      <c r="I77" s="61">
        <v>0.8</v>
      </c>
      <c r="J77" s="65" t="s">
        <v>276</v>
      </c>
      <c r="K77" s="61">
        <v>-0.08</v>
      </c>
    </row>
    <row r="78" spans="1:11" s="61" customFormat="1">
      <c r="A78" s="69" t="s">
        <v>233</v>
      </c>
      <c r="B78" s="70" t="s">
        <v>283</v>
      </c>
      <c r="C78" s="71">
        <f>-(1-C77)</f>
        <v>-0.5</v>
      </c>
      <c r="D78" s="72">
        <f>-(1-D77)</f>
        <v>-0.30000000000000004</v>
      </c>
      <c r="F78" s="68"/>
      <c r="G78" s="73">
        <f>-(1-G77)</f>
        <v>-5.0000000000000044E-2</v>
      </c>
      <c r="H78" s="74">
        <v>0.6</v>
      </c>
      <c r="I78" s="61">
        <v>-0.2</v>
      </c>
      <c r="J78" s="62" t="s">
        <v>236</v>
      </c>
      <c r="K78" s="61">
        <v>0.05</v>
      </c>
    </row>
    <row r="79" spans="1:11">
      <c r="A79" s="3"/>
      <c r="B79" s="34"/>
      <c r="C79" s="35"/>
      <c r="D79" s="36"/>
      <c r="F79" s="42"/>
      <c r="G79" s="37"/>
      <c r="H79" s="33"/>
    </row>
    <row r="80" spans="1:11">
      <c r="A80" s="1" t="s">
        <v>43</v>
      </c>
      <c r="E80" s="49" t="s">
        <v>274</v>
      </c>
      <c r="F80" s="49" t="str">
        <f>E80</f>
        <v>~MINECOFIN.model</v>
      </c>
      <c r="G80" s="9"/>
    </row>
    <row r="81" spans="1:11">
      <c r="A81" t="s">
        <v>34</v>
      </c>
      <c r="B81" s="2" t="s">
        <v>31</v>
      </c>
      <c r="E81" s="41">
        <v>0.53049999999999997</v>
      </c>
      <c r="F81" s="45">
        <f>1+F84-F82-F83</f>
        <v>1.0617000000000001</v>
      </c>
      <c r="G81" s="9"/>
    </row>
    <row r="82" spans="1:11">
      <c r="A82" t="s">
        <v>35</v>
      </c>
      <c r="B82" s="2" t="s">
        <v>32</v>
      </c>
      <c r="E82" s="41">
        <v>0.22889999999999999</v>
      </c>
      <c r="F82" s="45">
        <v>0.1583</v>
      </c>
      <c r="G82" s="9"/>
    </row>
    <row r="83" spans="1:11">
      <c r="A83" t="s">
        <v>36</v>
      </c>
      <c r="B83" s="2" t="s">
        <v>33</v>
      </c>
      <c r="E83" s="41">
        <v>0.89629999999999999</v>
      </c>
      <c r="F83" s="45">
        <v>0.25</v>
      </c>
      <c r="G83" s="9"/>
    </row>
    <row r="84" spans="1:11">
      <c r="A84" t="s">
        <v>37</v>
      </c>
      <c r="B84" s="55" t="s">
        <v>355</v>
      </c>
      <c r="E84" s="41">
        <v>-0.83350000000000002</v>
      </c>
      <c r="F84" s="45">
        <v>0.47</v>
      </c>
      <c r="G84" s="9"/>
    </row>
    <row r="85" spans="1:11">
      <c r="A85" t="s">
        <v>38</v>
      </c>
      <c r="B85" s="2" t="s">
        <v>360</v>
      </c>
      <c r="E85" s="41">
        <v>0.17780000000000001</v>
      </c>
      <c r="F85" s="42"/>
      <c r="G85" s="9"/>
    </row>
    <row r="86" spans="1:11">
      <c r="E86" s="41" t="str">
        <f>IF(ABS(E81+E82+E83+E85+E84-1)&gt;0.01,"check","")</f>
        <v/>
      </c>
      <c r="F86" s="42"/>
      <c r="G86" s="9"/>
    </row>
    <row r="87" spans="1:11" ht="16.75">
      <c r="A87" s="1" t="s">
        <v>356</v>
      </c>
      <c r="F87" s="44" t="str">
        <f>+IF(ABS(F81+F82+F83-F84-1)&gt;0.01,"check","")</f>
        <v/>
      </c>
      <c r="G87" s="16" t="s">
        <v>264</v>
      </c>
    </row>
    <row r="88" spans="1:11">
      <c r="A88" t="str">
        <f>+A39</f>
        <v>Lag, persistence (AR1)</v>
      </c>
      <c r="B88" s="2" t="s">
        <v>347</v>
      </c>
      <c r="C88" s="9">
        <v>0.5</v>
      </c>
      <c r="D88">
        <f>0.65+(1-0.65)*0.5</f>
        <v>0.82499999999999996</v>
      </c>
      <c r="E88">
        <v>0.54</v>
      </c>
      <c r="F88" s="42">
        <f>1-F89-0.2-0.04</f>
        <v>0.45999999999999996</v>
      </c>
      <c r="G88" s="9">
        <f>1-G89</f>
        <v>0.75</v>
      </c>
      <c r="H88" s="9">
        <v>0.57999999999999996</v>
      </c>
      <c r="I88">
        <v>0.8</v>
      </c>
      <c r="J88" s="9">
        <v>0.2</v>
      </c>
      <c r="K88">
        <f>1-K89</f>
        <v>0.66999999999999993</v>
      </c>
    </row>
    <row r="89" spans="1:11">
      <c r="A89" t="str">
        <f>+A40</f>
        <v>Expectation (t+1)</v>
      </c>
      <c r="B89" s="2" t="s">
        <v>46</v>
      </c>
      <c r="C89" s="9">
        <v>0.5</v>
      </c>
      <c r="D89">
        <f>0.35*0.5</f>
        <v>0.17499999999999999</v>
      </c>
      <c r="E89" s="39">
        <f>1-E88</f>
        <v>0.45999999999999996</v>
      </c>
      <c r="F89" s="42">
        <v>0.3</v>
      </c>
      <c r="G89" s="9">
        <v>0.25</v>
      </c>
      <c r="H89" s="13" t="s">
        <v>250</v>
      </c>
      <c r="I89" s="9">
        <f>1-I88</f>
        <v>0.19999999999999996</v>
      </c>
      <c r="J89" s="9">
        <f>1-J88</f>
        <v>0.8</v>
      </c>
      <c r="K89">
        <v>0.33</v>
      </c>
    </row>
    <row r="90" spans="1:11">
      <c r="A90" t="s">
        <v>45</v>
      </c>
      <c r="B90" s="2" t="s">
        <v>47</v>
      </c>
      <c r="C90" s="9">
        <v>0.2</v>
      </c>
      <c r="D90">
        <v>0.51</v>
      </c>
      <c r="E90">
        <v>0.03</v>
      </c>
      <c r="F90">
        <v>0.3</v>
      </c>
      <c r="G90" s="9">
        <v>0.25</v>
      </c>
      <c r="H90" s="9">
        <v>0.4</v>
      </c>
      <c r="I90">
        <v>0.15</v>
      </c>
      <c r="J90" s="9">
        <v>1</v>
      </c>
      <c r="K90" s="9" t="s">
        <v>273</v>
      </c>
    </row>
    <row r="91" spans="1:11">
      <c r="A91" s="39" t="s">
        <v>50</v>
      </c>
      <c r="B91" s="2" t="s">
        <v>293</v>
      </c>
      <c r="C91" s="13" t="s">
        <v>250</v>
      </c>
      <c r="D91" s="13" t="s">
        <v>250</v>
      </c>
      <c r="E91" s="13">
        <v>3.0000000000000001E-3</v>
      </c>
      <c r="F91" s="42">
        <v>0.2</v>
      </c>
      <c r="G91" s="9">
        <v>0.04</v>
      </c>
      <c r="H91" s="14" t="s">
        <v>277</v>
      </c>
      <c r="J91" s="9">
        <v>0.1</v>
      </c>
    </row>
    <row r="92" spans="1:11">
      <c r="A92" t="s">
        <v>237</v>
      </c>
      <c r="B92" s="2" t="s">
        <v>48</v>
      </c>
      <c r="C92" s="9">
        <v>0.7</v>
      </c>
      <c r="D92">
        <v>0.8</v>
      </c>
      <c r="E92" s="39">
        <v>0.75</v>
      </c>
      <c r="F92" s="42">
        <f>1-F93</f>
        <v>9.9999999999999978E-2</v>
      </c>
      <c r="G92" s="17">
        <f>0.9</f>
        <v>0.9</v>
      </c>
      <c r="H92" s="9">
        <v>0.5</v>
      </c>
      <c r="I92">
        <v>0.6</v>
      </c>
      <c r="J92" s="12" t="s">
        <v>238</v>
      </c>
      <c r="K92">
        <v>0.1</v>
      </c>
    </row>
    <row r="93" spans="1:11">
      <c r="A93" s="3" t="s">
        <v>242</v>
      </c>
      <c r="B93" s="19" t="s">
        <v>249</v>
      </c>
      <c r="C93" s="13">
        <v>0.3</v>
      </c>
      <c r="D93">
        <f>1-D92</f>
        <v>0.19999999999999996</v>
      </c>
      <c r="E93" s="39">
        <v>0.5</v>
      </c>
      <c r="F93" s="42">
        <f>0.1+0.8</f>
        <v>0.9</v>
      </c>
      <c r="G93" s="31">
        <f>1-G92</f>
        <v>9.9999999999999978E-2</v>
      </c>
      <c r="H93" s="9">
        <v>0.38</v>
      </c>
      <c r="I93">
        <f>1-I92</f>
        <v>0.4</v>
      </c>
      <c r="K93">
        <v>5.0000000000000001E-3</v>
      </c>
    </row>
    <row r="94" spans="1:11">
      <c r="A94" s="3"/>
      <c r="B94" s="19"/>
      <c r="C94" s="13"/>
      <c r="E94" s="39"/>
      <c r="F94" s="42"/>
      <c r="G94" s="31"/>
    </row>
    <row r="95" spans="1:11" ht="16.75">
      <c r="A95" s="1" t="s">
        <v>357</v>
      </c>
      <c r="F95" s="42"/>
      <c r="G95" s="9"/>
      <c r="H95" s="16" t="s">
        <v>243</v>
      </c>
      <c r="J95" s="9" t="s">
        <v>240</v>
      </c>
      <c r="K95" s="13"/>
    </row>
    <row r="96" spans="1:11">
      <c r="A96" t="str">
        <f>+A88</f>
        <v>Lag, persistence (AR1)</v>
      </c>
      <c r="B96" s="2" t="s">
        <v>363</v>
      </c>
      <c r="C96" s="9">
        <v>0.5</v>
      </c>
      <c r="D96">
        <v>0.35</v>
      </c>
      <c r="F96" s="42">
        <f>1-F97-0.3-0.15</f>
        <v>0.15</v>
      </c>
      <c r="G96" s="17">
        <v>0.65</v>
      </c>
      <c r="H96" s="9">
        <v>0.55000000000000004</v>
      </c>
      <c r="I96">
        <v>0.5</v>
      </c>
      <c r="K96">
        <v>1</v>
      </c>
    </row>
    <row r="97" spans="1:11">
      <c r="A97" t="str">
        <f t="shared" ref="A97:A98" si="1">+A89</f>
        <v>Expectation (t+1)</v>
      </c>
      <c r="B97" s="2" t="s">
        <v>294</v>
      </c>
      <c r="C97" s="9">
        <v>0.5</v>
      </c>
      <c r="D97">
        <f>1-D96</f>
        <v>0.65</v>
      </c>
      <c r="F97" s="42">
        <v>0.4</v>
      </c>
      <c r="G97" s="17">
        <f>1-G96-G99-0.033</f>
        <v>0.30499999999999994</v>
      </c>
      <c r="H97" s="13" t="s">
        <v>250</v>
      </c>
      <c r="I97" s="9">
        <f>1-I96</f>
        <v>0.5</v>
      </c>
    </row>
    <row r="98" spans="1:11">
      <c r="A98" t="str">
        <f t="shared" si="1"/>
        <v xml:space="preserve">Real marginal cost (RMC) </v>
      </c>
      <c r="B98" s="2" t="s">
        <v>52</v>
      </c>
      <c r="C98" s="9">
        <v>0.3</v>
      </c>
      <c r="D98" s="13" t="s">
        <v>250</v>
      </c>
      <c r="F98" s="42">
        <v>0.4</v>
      </c>
      <c r="G98" s="17">
        <v>0.16</v>
      </c>
      <c r="H98" s="9">
        <v>0.6</v>
      </c>
      <c r="I98">
        <v>0.1</v>
      </c>
    </row>
    <row r="99" spans="1:11">
      <c r="A99" t="s">
        <v>49</v>
      </c>
      <c r="B99" s="2" t="s">
        <v>364</v>
      </c>
      <c r="C99" s="13" t="s">
        <v>250</v>
      </c>
      <c r="D99">
        <v>0.17</v>
      </c>
      <c r="F99" s="42">
        <v>0.3</v>
      </c>
      <c r="G99" s="17">
        <v>1.2E-2</v>
      </c>
      <c r="H99" s="14" t="s">
        <v>265</v>
      </c>
      <c r="K99" s="13" t="str">
        <f>+C99</f>
        <v>n.a.</v>
      </c>
    </row>
    <row r="100" spans="1:11">
      <c r="A100" t="s">
        <v>361</v>
      </c>
      <c r="B100" s="2" t="s">
        <v>362</v>
      </c>
      <c r="C100" s="13">
        <f>-1.6*0.3</f>
        <v>-0.48</v>
      </c>
      <c r="D100" s="13" t="s">
        <v>250</v>
      </c>
      <c r="F100" s="42"/>
      <c r="G100" s="13" t="s">
        <v>250</v>
      </c>
      <c r="H100" s="13" t="s">
        <v>250</v>
      </c>
    </row>
    <row r="101" spans="1:11">
      <c r="A101" t="s">
        <v>256</v>
      </c>
      <c r="B101" s="20" t="s">
        <v>250</v>
      </c>
      <c r="C101" s="13">
        <v>0.7</v>
      </c>
      <c r="D101">
        <v>0.06</v>
      </c>
      <c r="F101" s="42">
        <f>1-F102</f>
        <v>9.9999999999999978E-2</v>
      </c>
      <c r="G101" s="17">
        <v>0.8</v>
      </c>
      <c r="H101" s="14" t="s">
        <v>266</v>
      </c>
      <c r="I101">
        <v>0.4</v>
      </c>
    </row>
    <row r="102" spans="1:11">
      <c r="A102" s="3" t="s">
        <v>285</v>
      </c>
      <c r="B102" s="20" t="s">
        <v>250</v>
      </c>
      <c r="C102" s="13">
        <v>0.3</v>
      </c>
      <c r="D102" s="13" t="s">
        <v>250</v>
      </c>
      <c r="F102" s="42">
        <f>+F93</f>
        <v>0.9</v>
      </c>
      <c r="G102" s="31">
        <f>1-G101</f>
        <v>0.19999999999999996</v>
      </c>
      <c r="H102" s="13" t="s">
        <v>250</v>
      </c>
      <c r="I102">
        <f>1-I101</f>
        <v>0.6</v>
      </c>
    </row>
    <row r="103" spans="1:11">
      <c r="A103" s="3"/>
      <c r="B103" s="20"/>
      <c r="C103" s="13"/>
      <c r="D103" s="13"/>
      <c r="F103" s="42"/>
      <c r="G103" s="31"/>
      <c r="H103" s="13"/>
    </row>
    <row r="104" spans="1:11" ht="16.75">
      <c r="A104" s="1" t="s">
        <v>358</v>
      </c>
      <c r="F104" s="43" t="s">
        <v>250</v>
      </c>
      <c r="G104" s="16" t="s">
        <v>267</v>
      </c>
      <c r="I104" s="16" t="s">
        <v>240</v>
      </c>
      <c r="J104" s="16" t="s">
        <v>240</v>
      </c>
    </row>
    <row r="105" spans="1:11">
      <c r="A105" t="str">
        <f>+A88</f>
        <v>Lag, persistence (AR1)</v>
      </c>
      <c r="B105" s="2" t="s">
        <v>365</v>
      </c>
      <c r="C105" s="9">
        <v>0.8</v>
      </c>
      <c r="D105">
        <v>0.35</v>
      </c>
      <c r="F105" s="42"/>
      <c r="G105" s="9"/>
      <c r="H105" s="13"/>
    </row>
    <row r="106" spans="1:11">
      <c r="A106" t="str">
        <f>+A89</f>
        <v>Expectation (t+1)</v>
      </c>
      <c r="B106" s="2" t="s">
        <v>295</v>
      </c>
      <c r="C106" s="9">
        <v>0.2</v>
      </c>
      <c r="D106">
        <v>0.56999999999999995</v>
      </c>
      <c r="F106" s="42"/>
      <c r="G106" s="9"/>
    </row>
    <row r="107" spans="1:11">
      <c r="A107" t="str">
        <f>+A90</f>
        <v xml:space="preserve">Real marginal cost (RMC) </v>
      </c>
      <c r="B107" s="2" t="s">
        <v>366</v>
      </c>
      <c r="C107" s="9">
        <v>0.3</v>
      </c>
      <c r="D107" s="13" t="s">
        <v>250</v>
      </c>
      <c r="F107" s="42"/>
      <c r="G107" s="9"/>
    </row>
    <row r="108" spans="1:11" ht="17.75">
      <c r="A108" t="s">
        <v>53</v>
      </c>
      <c r="B108" s="2" t="s">
        <v>367</v>
      </c>
      <c r="C108" s="13" t="s">
        <v>250</v>
      </c>
      <c r="D108">
        <f>1-D105-D106</f>
        <v>8.0000000000000071E-2</v>
      </c>
      <c r="F108" s="42"/>
      <c r="G108" s="9" t="s">
        <v>271</v>
      </c>
    </row>
    <row r="109" spans="1:11">
      <c r="A109" s="3" t="s">
        <v>286</v>
      </c>
      <c r="B109" s="20" t="s">
        <v>250</v>
      </c>
      <c r="C109" s="13">
        <v>0.3</v>
      </c>
      <c r="D109" s="13" t="s">
        <v>250</v>
      </c>
      <c r="F109" s="42"/>
      <c r="G109" s="9"/>
    </row>
    <row r="110" spans="1:11">
      <c r="A110" s="3"/>
      <c r="B110" s="20"/>
      <c r="C110" s="13"/>
      <c r="D110" s="13"/>
      <c r="F110" s="42"/>
      <c r="G110" s="9"/>
    </row>
    <row r="111" spans="1:11">
      <c r="A111" s="1" t="s">
        <v>359</v>
      </c>
      <c r="F111" s="42"/>
    </row>
    <row r="112" spans="1:11">
      <c r="A112" t="s">
        <v>55</v>
      </c>
      <c r="B112" s="2" t="s">
        <v>57</v>
      </c>
      <c r="C112" s="9">
        <v>0.59</v>
      </c>
      <c r="D112">
        <v>0.53</v>
      </c>
      <c r="E112" s="40">
        <v>0.65500000000000003</v>
      </c>
      <c r="F112" s="45">
        <f>1-F113</f>
        <v>0.46089999999999998</v>
      </c>
      <c r="G112" s="9" t="s">
        <v>270</v>
      </c>
      <c r="H112" s="17">
        <v>0.74850000000000005</v>
      </c>
      <c r="I112">
        <f>1-I113</f>
        <v>0.65</v>
      </c>
    </row>
    <row r="113" spans="1:11">
      <c r="A113" t="s">
        <v>54</v>
      </c>
      <c r="B113" s="2" t="s">
        <v>58</v>
      </c>
      <c r="C113" s="9">
        <v>0.34</v>
      </c>
      <c r="D113">
        <v>0.36</v>
      </c>
      <c r="F113" s="45">
        <v>0.53910000000000002</v>
      </c>
      <c r="G113" s="9" t="s">
        <v>270</v>
      </c>
      <c r="H113" s="17">
        <f>1-H112-H114</f>
        <v>0.17349999999999993</v>
      </c>
      <c r="I113">
        <v>0.35</v>
      </c>
    </row>
    <row r="114" spans="1:11">
      <c r="A114" t="s">
        <v>56</v>
      </c>
      <c r="B114" s="2" t="s">
        <v>59</v>
      </c>
      <c r="C114">
        <f>1-C112-C113</f>
        <v>7.0000000000000007E-2</v>
      </c>
      <c r="D114">
        <f>1-D112-D113</f>
        <v>0.10999999999999999</v>
      </c>
      <c r="F114" s="42"/>
      <c r="G114" s="9" t="s">
        <v>270</v>
      </c>
      <c r="H114" s="17">
        <v>7.8E-2</v>
      </c>
      <c r="I114" s="9" t="s">
        <v>241</v>
      </c>
    </row>
    <row r="115" spans="1:11">
      <c r="F115" s="42"/>
      <c r="G115" s="9"/>
    </row>
    <row r="116" spans="1:11">
      <c r="A116" s="1" t="s">
        <v>232</v>
      </c>
      <c r="F116" s="42"/>
      <c r="G116" s="9"/>
    </row>
    <row r="117" spans="1:11">
      <c r="A117" t="str">
        <f>+A39</f>
        <v>Lag, persistence (AR1)</v>
      </c>
      <c r="B117" s="2" t="s">
        <v>368</v>
      </c>
      <c r="C117" s="9">
        <v>0.8</v>
      </c>
      <c r="D117">
        <v>0.45</v>
      </c>
      <c r="E117">
        <v>0.85</v>
      </c>
      <c r="F117" s="42">
        <v>0.9</v>
      </c>
      <c r="G117" s="17">
        <v>0.79</v>
      </c>
      <c r="H117" s="9">
        <v>0.8</v>
      </c>
      <c r="I117">
        <v>0.7</v>
      </c>
      <c r="J117" s="9">
        <v>0.5</v>
      </c>
      <c r="K117">
        <v>0.85</v>
      </c>
    </row>
    <row r="118" spans="1:11">
      <c r="A118" t="s">
        <v>60</v>
      </c>
      <c r="B118" s="2" t="s">
        <v>369</v>
      </c>
      <c r="C118" s="9">
        <v>0.25</v>
      </c>
      <c r="D118">
        <v>2.1</v>
      </c>
      <c r="E118">
        <v>3.4</v>
      </c>
      <c r="F118" s="42">
        <f>+(1-F113)*1.2+F113*1.2</f>
        <v>1.2</v>
      </c>
      <c r="G118" s="17">
        <v>1.57</v>
      </c>
      <c r="H118" s="9">
        <v>1.5</v>
      </c>
      <c r="I118">
        <v>2</v>
      </c>
      <c r="J118" s="9">
        <v>2</v>
      </c>
      <c r="K118">
        <v>2.5</v>
      </c>
    </row>
    <row r="119" spans="1:11">
      <c r="A119" t="s">
        <v>11</v>
      </c>
      <c r="B119" s="2" t="s">
        <v>370</v>
      </c>
      <c r="C119" s="9">
        <v>0.2</v>
      </c>
      <c r="D119">
        <v>0.9</v>
      </c>
      <c r="E119">
        <v>0.25</v>
      </c>
      <c r="F119" s="42">
        <v>0.1</v>
      </c>
      <c r="G119" s="17">
        <f>1.57*0.54</f>
        <v>0.84780000000000011</v>
      </c>
      <c r="H119" s="9">
        <v>0.2</v>
      </c>
      <c r="I119">
        <v>0.5</v>
      </c>
      <c r="J119" s="9">
        <v>0.5</v>
      </c>
      <c r="K119">
        <v>0.5</v>
      </c>
    </row>
    <row r="120" spans="1:11">
      <c r="A120" t="s">
        <v>281</v>
      </c>
      <c r="B120" s="2" t="s">
        <v>61</v>
      </c>
      <c r="C120" s="9">
        <v>0</v>
      </c>
      <c r="D120" s="13" t="s">
        <v>250</v>
      </c>
      <c r="E120" s="13" t="s">
        <v>250</v>
      </c>
      <c r="F120" s="42">
        <v>0.1</v>
      </c>
      <c r="G120" s="13" t="s">
        <v>250</v>
      </c>
      <c r="H120" s="9">
        <v>0.4</v>
      </c>
      <c r="I120" s="13" t="s">
        <v>250</v>
      </c>
      <c r="J120" s="13" t="s">
        <v>250</v>
      </c>
      <c r="K120" s="13" t="s">
        <v>250</v>
      </c>
    </row>
    <row r="121" spans="1:11">
      <c r="A121" t="s">
        <v>64</v>
      </c>
      <c r="B121" s="2" t="s">
        <v>62</v>
      </c>
      <c r="C121" s="13" t="s">
        <v>250</v>
      </c>
      <c r="D121">
        <v>0.5</v>
      </c>
      <c r="E121" s="13" t="s">
        <v>250</v>
      </c>
      <c r="F121" s="13" t="s">
        <v>250</v>
      </c>
      <c r="G121" s="13" t="s">
        <v>250</v>
      </c>
      <c r="H121" s="13" t="s">
        <v>250</v>
      </c>
      <c r="J121" s="13" t="s">
        <v>250</v>
      </c>
      <c r="K121" s="13" t="s">
        <v>250</v>
      </c>
    </row>
    <row r="122" spans="1:11">
      <c r="A122" t="s">
        <v>63</v>
      </c>
      <c r="B122" s="2" t="s">
        <v>65</v>
      </c>
      <c r="C122" s="21" t="s">
        <v>251</v>
      </c>
      <c r="D122" s="13" t="s">
        <v>250</v>
      </c>
      <c r="E122" s="13" t="s">
        <v>250</v>
      </c>
      <c r="F122" s="13" t="s">
        <v>250</v>
      </c>
      <c r="G122" s="13" t="s">
        <v>250</v>
      </c>
      <c r="H122" s="13" t="s">
        <v>250</v>
      </c>
      <c r="I122" s="13" t="s">
        <v>250</v>
      </c>
      <c r="J122" s="13" t="s">
        <v>250</v>
      </c>
    </row>
    <row r="123" spans="1:11">
      <c r="F123" s="42"/>
      <c r="G123" s="9"/>
    </row>
    <row r="124" spans="1:11">
      <c r="A124" s="1" t="s">
        <v>44</v>
      </c>
      <c r="F124" s="42"/>
      <c r="G124" s="9"/>
    </row>
    <row r="125" spans="1:11">
      <c r="A125" t="s">
        <v>66</v>
      </c>
      <c r="B125" s="2" t="s">
        <v>371</v>
      </c>
      <c r="C125" s="13" t="s">
        <v>257</v>
      </c>
      <c r="D125">
        <v>0.05</v>
      </c>
      <c r="E125">
        <v>0.7</v>
      </c>
      <c r="F125" s="46">
        <v>0.7</v>
      </c>
      <c r="G125" s="9">
        <v>0.6</v>
      </c>
      <c r="H125" s="9">
        <v>0.6</v>
      </c>
      <c r="I125">
        <v>0.2</v>
      </c>
      <c r="K125">
        <v>0.7</v>
      </c>
    </row>
    <row r="126" spans="1:11">
      <c r="A126" t="s">
        <v>67</v>
      </c>
      <c r="B126" s="2" t="s">
        <v>373</v>
      </c>
      <c r="C126" s="9">
        <v>0.2</v>
      </c>
      <c r="D126" s="13" t="s">
        <v>250</v>
      </c>
      <c r="E126" s="13" t="s">
        <v>250</v>
      </c>
      <c r="F126" s="13">
        <v>1</v>
      </c>
      <c r="G126" s="9">
        <v>0.9</v>
      </c>
      <c r="H126" s="13" t="s">
        <v>250</v>
      </c>
      <c r="I126">
        <v>0.8</v>
      </c>
      <c r="K126">
        <v>0.6</v>
      </c>
    </row>
    <row r="127" spans="1:11">
      <c r="A127" t="s">
        <v>289</v>
      </c>
      <c r="B127" s="55" t="s">
        <v>374</v>
      </c>
      <c r="C127" s="9">
        <v>0.8</v>
      </c>
      <c r="D127" s="13"/>
      <c r="E127" s="13"/>
      <c r="F127" s="42">
        <v>0.3</v>
      </c>
      <c r="G127" s="9"/>
      <c r="H127" s="13"/>
      <c r="I127">
        <f>1-I126</f>
        <v>0.19999999999999996</v>
      </c>
    </row>
    <row r="128" spans="1:11">
      <c r="A128" t="s">
        <v>68</v>
      </c>
      <c r="B128" s="2" t="s">
        <v>69</v>
      </c>
      <c r="C128" s="13" t="s">
        <v>250</v>
      </c>
      <c r="D128" s="13" t="s">
        <v>250</v>
      </c>
      <c r="E128" s="13" t="s">
        <v>250</v>
      </c>
      <c r="F128" s="42"/>
      <c r="G128" s="30">
        <v>0.8</v>
      </c>
      <c r="H128" s="13" t="s">
        <v>250</v>
      </c>
      <c r="I128" s="13" t="s">
        <v>250</v>
      </c>
      <c r="K128" s="13" t="s">
        <v>250</v>
      </c>
    </row>
    <row r="129" spans="1:11">
      <c r="A129" t="s">
        <v>70</v>
      </c>
      <c r="B129" s="2" t="s">
        <v>71</v>
      </c>
      <c r="C129" s="13" t="s">
        <v>250</v>
      </c>
      <c r="D129">
        <v>0.8</v>
      </c>
      <c r="E129" s="13" t="s">
        <v>250</v>
      </c>
      <c r="F129" s="42"/>
      <c r="G129" s="13" t="s">
        <v>250</v>
      </c>
      <c r="H129" s="13" t="s">
        <v>250</v>
      </c>
      <c r="K129" s="13" t="s">
        <v>250</v>
      </c>
    </row>
    <row r="130" spans="1:11">
      <c r="A130" t="s">
        <v>72</v>
      </c>
      <c r="B130" s="2" t="s">
        <v>73</v>
      </c>
      <c r="C130" s="9">
        <v>0.3</v>
      </c>
      <c r="D130" s="13" t="s">
        <v>250</v>
      </c>
      <c r="E130" s="13" t="s">
        <v>250</v>
      </c>
      <c r="F130" s="42"/>
      <c r="G130" s="13" t="s">
        <v>250</v>
      </c>
      <c r="H130" s="13" t="s">
        <v>250</v>
      </c>
      <c r="K130" s="13" t="s">
        <v>250</v>
      </c>
    </row>
    <row r="131" spans="1:11">
      <c r="A131" t="s">
        <v>375</v>
      </c>
      <c r="B131" s="2" t="s">
        <v>372</v>
      </c>
      <c r="C131" s="9">
        <v>-0.85</v>
      </c>
      <c r="D131" s="13" t="s">
        <v>250</v>
      </c>
      <c r="E131" s="13" t="s">
        <v>250</v>
      </c>
      <c r="F131" s="42"/>
      <c r="G131" s="13" t="s">
        <v>250</v>
      </c>
      <c r="H131" s="13" t="s">
        <v>250</v>
      </c>
      <c r="K131" s="13" t="s">
        <v>250</v>
      </c>
    </row>
    <row r="132" spans="1:11">
      <c r="F132" s="42"/>
      <c r="G132" s="9"/>
      <c r="H132" s="13"/>
    </row>
    <row r="133" spans="1:11">
      <c r="A133" s="1" t="s">
        <v>74</v>
      </c>
      <c r="D133" s="38" t="s">
        <v>250</v>
      </c>
      <c r="E133" s="38" t="s">
        <v>250</v>
      </c>
      <c r="F133" s="16" t="str">
        <f>+$D133</f>
        <v>n.a.</v>
      </c>
      <c r="G133" s="16" t="str">
        <f>+$D133</f>
        <v>n.a.</v>
      </c>
      <c r="H133" s="16" t="str">
        <f>+$D133</f>
        <v>n.a.</v>
      </c>
      <c r="I133" s="16" t="s">
        <v>284</v>
      </c>
    </row>
    <row r="134" spans="1:11">
      <c r="A134" t="str">
        <f>+A39</f>
        <v>Lag, persistence (AR1)</v>
      </c>
      <c r="B134" s="2" t="s">
        <v>77</v>
      </c>
      <c r="C134" s="9">
        <v>0.8</v>
      </c>
      <c r="F134" s="42"/>
      <c r="G134" s="9"/>
      <c r="H134" s="13"/>
    </row>
    <row r="135" spans="1:11">
      <c r="A135" t="s">
        <v>252</v>
      </c>
      <c r="B135" s="2" t="s">
        <v>376</v>
      </c>
      <c r="C135" s="12">
        <f>-0.5</f>
        <v>-0.5</v>
      </c>
      <c r="F135" s="42"/>
      <c r="G135" s="9"/>
    </row>
    <row r="136" spans="1:11">
      <c r="A136" t="s">
        <v>75</v>
      </c>
      <c r="B136" s="2" t="s">
        <v>76</v>
      </c>
      <c r="C136" s="9">
        <v>0.95</v>
      </c>
      <c r="F136" s="42"/>
      <c r="G136" s="9"/>
    </row>
    <row r="137" spans="1:11">
      <c r="F137" s="42"/>
      <c r="G137" s="9"/>
    </row>
    <row r="138" spans="1:11">
      <c r="A138" s="1" t="s">
        <v>223</v>
      </c>
      <c r="F138" s="42"/>
      <c r="G138" s="9"/>
    </row>
    <row r="139" spans="1:11">
      <c r="A139" t="s">
        <v>51</v>
      </c>
      <c r="B139" s="2" t="s">
        <v>84</v>
      </c>
      <c r="C139" s="9">
        <v>0.4</v>
      </c>
      <c r="F139" s="42"/>
      <c r="G139" s="9"/>
    </row>
    <row r="140" spans="1:11">
      <c r="A140" t="s">
        <v>78</v>
      </c>
      <c r="B140" s="2" t="s">
        <v>85</v>
      </c>
      <c r="C140" s="9">
        <v>0.8</v>
      </c>
      <c r="F140" s="42"/>
      <c r="G140" s="9"/>
    </row>
    <row r="141" spans="1:11">
      <c r="A141" t="s">
        <v>258</v>
      </c>
      <c r="B141" s="2" t="s">
        <v>86</v>
      </c>
      <c r="C141" s="22">
        <v>0.8</v>
      </c>
      <c r="D141">
        <v>0.38</v>
      </c>
      <c r="F141" s="42">
        <v>0.85</v>
      </c>
      <c r="G141" s="9"/>
      <c r="H141" s="9">
        <v>0.7</v>
      </c>
      <c r="I141">
        <v>0.5</v>
      </c>
    </row>
    <row r="142" spans="1:11">
      <c r="A142" t="s">
        <v>79</v>
      </c>
      <c r="B142" s="2" t="s">
        <v>87</v>
      </c>
      <c r="F142" s="42"/>
      <c r="G142" s="9"/>
    </row>
    <row r="143" spans="1:11">
      <c r="A143" t="s">
        <v>80</v>
      </c>
      <c r="B143" s="2" t="s">
        <v>88</v>
      </c>
      <c r="F143" s="42">
        <v>0.85</v>
      </c>
      <c r="G143" s="9"/>
    </row>
    <row r="144" spans="1:11">
      <c r="A144" t="s">
        <v>81</v>
      </c>
      <c r="B144" s="2" t="s">
        <v>89</v>
      </c>
      <c r="F144" s="42">
        <v>0.75</v>
      </c>
      <c r="G144" s="9"/>
    </row>
    <row r="145" spans="1:11">
      <c r="A145" t="s">
        <v>82</v>
      </c>
      <c r="B145" s="2" t="s">
        <v>90</v>
      </c>
      <c r="F145" s="42">
        <v>0.85</v>
      </c>
      <c r="G145" s="9"/>
    </row>
    <row r="146" spans="1:11">
      <c r="A146" t="s">
        <v>83</v>
      </c>
      <c r="B146" s="2" t="s">
        <v>91</v>
      </c>
      <c r="C146" s="9">
        <v>0.85</v>
      </c>
      <c r="D146">
        <v>0.55000000000000004</v>
      </c>
      <c r="F146" s="42">
        <v>0.85</v>
      </c>
      <c r="G146" s="9"/>
      <c r="H146" s="9">
        <v>0.8</v>
      </c>
      <c r="I146">
        <v>0.5</v>
      </c>
    </row>
    <row r="147" spans="1:11">
      <c r="A147" t="s">
        <v>102</v>
      </c>
      <c r="B147" s="2" t="s">
        <v>92</v>
      </c>
      <c r="C147" s="13">
        <v>0.8</v>
      </c>
      <c r="F147" s="42"/>
      <c r="G147" s="9"/>
      <c r="H147" s="9">
        <v>0.28000000000000003</v>
      </c>
    </row>
    <row r="148" spans="1:11">
      <c r="A148" t="s">
        <v>101</v>
      </c>
      <c r="B148" s="2" t="s">
        <v>93</v>
      </c>
      <c r="C148" s="13">
        <v>0.8</v>
      </c>
      <c r="F148" s="42"/>
      <c r="G148" s="9"/>
    </row>
    <row r="149" spans="1:11">
      <c r="A149" t="s">
        <v>244</v>
      </c>
      <c r="B149" s="2" t="s">
        <v>250</v>
      </c>
      <c r="C149" s="13">
        <v>0.8</v>
      </c>
      <c r="D149">
        <v>0.45</v>
      </c>
      <c r="F149" s="42">
        <v>0.95</v>
      </c>
      <c r="G149" s="9"/>
      <c r="H149" s="9">
        <v>0.8</v>
      </c>
    </row>
    <row r="150" spans="1:11">
      <c r="B150" s="53" t="str">
        <f>+B4</f>
        <v>QMFM (this study MINECOFIN)</v>
      </c>
      <c r="C150" s="52" t="str">
        <f>+C4</f>
        <v>NBR/IMF Rwa</v>
      </c>
      <c r="F150" s="42"/>
      <c r="G150" s="9"/>
    </row>
    <row r="151" spans="1:11">
      <c r="A151" s="1" t="s">
        <v>16</v>
      </c>
      <c r="F151" s="42"/>
      <c r="G151" s="9"/>
    </row>
    <row r="152" spans="1:11">
      <c r="A152" t="s">
        <v>95</v>
      </c>
      <c r="B152" s="2" t="s">
        <v>94</v>
      </c>
      <c r="C152" s="13">
        <v>4</v>
      </c>
      <c r="F152" s="42"/>
      <c r="G152" s="9"/>
    </row>
    <row r="153" spans="1:11">
      <c r="A153" t="s">
        <v>96</v>
      </c>
      <c r="B153" s="2" t="s">
        <v>109</v>
      </c>
      <c r="C153" s="13">
        <v>3</v>
      </c>
      <c r="F153" s="42"/>
      <c r="G153" s="9"/>
    </row>
    <row r="154" spans="1:11">
      <c r="A154" t="s">
        <v>208</v>
      </c>
      <c r="B154" s="2" t="s">
        <v>296</v>
      </c>
      <c r="F154" s="42"/>
      <c r="G154" s="9"/>
    </row>
    <row r="155" spans="1:11">
      <c r="A155" t="s">
        <v>97</v>
      </c>
      <c r="B155" s="2" t="s">
        <v>382</v>
      </c>
      <c r="C155" s="22" t="s">
        <v>253</v>
      </c>
      <c r="D155">
        <v>7.5</v>
      </c>
      <c r="F155" s="42">
        <v>5.4</v>
      </c>
      <c r="G155" s="9">
        <v>2.5</v>
      </c>
      <c r="H155" s="15">
        <f>100*LN(1+7.5/100)</f>
        <v>7.232066157962608</v>
      </c>
      <c r="I155">
        <v>8</v>
      </c>
    </row>
    <row r="156" spans="1:11">
      <c r="A156" t="s">
        <v>98</v>
      </c>
      <c r="B156" s="2" t="s">
        <v>383</v>
      </c>
      <c r="C156" s="24">
        <v>8.1579999999999995</v>
      </c>
      <c r="F156" s="42"/>
      <c r="G156" s="9"/>
      <c r="H156" s="15"/>
    </row>
    <row r="157" spans="1:11">
      <c r="A157" t="s">
        <v>99</v>
      </c>
      <c r="B157" s="2" t="s">
        <v>384</v>
      </c>
      <c r="C157" s="13" t="s">
        <v>261</v>
      </c>
      <c r="D157">
        <v>5</v>
      </c>
      <c r="F157" s="42">
        <v>4</v>
      </c>
      <c r="G157" s="9">
        <v>4.5</v>
      </c>
      <c r="H157" s="15">
        <f>100*LN(1+5/100)</f>
        <v>4.8790164169432053</v>
      </c>
      <c r="I157">
        <v>10</v>
      </c>
    </row>
    <row r="158" spans="1:11">
      <c r="A158" t="s">
        <v>100</v>
      </c>
      <c r="B158" s="2" t="s">
        <v>385</v>
      </c>
      <c r="C158" s="9">
        <v>0</v>
      </c>
      <c r="F158" s="42">
        <v>-1.667</v>
      </c>
      <c r="G158" s="9"/>
      <c r="H158" s="11"/>
      <c r="I158">
        <v>-2.5</v>
      </c>
    </row>
    <row r="159" spans="1:11">
      <c r="A159" t="s">
        <v>103</v>
      </c>
      <c r="B159" s="2" t="s">
        <v>108</v>
      </c>
      <c r="C159" s="9">
        <v>0</v>
      </c>
      <c r="F159" s="42">
        <v>6.3330000000000002</v>
      </c>
      <c r="G159" s="9"/>
      <c r="H159" s="11"/>
    </row>
    <row r="160" spans="1:11">
      <c r="A160" t="s">
        <v>104</v>
      </c>
      <c r="B160" s="2" t="s">
        <v>107</v>
      </c>
      <c r="C160" s="13">
        <v>0</v>
      </c>
      <c r="D160">
        <v>-1</v>
      </c>
      <c r="F160" s="42">
        <v>-3</v>
      </c>
      <c r="G160" s="9">
        <v>0</v>
      </c>
      <c r="H160" s="12">
        <v>-1</v>
      </c>
      <c r="I160">
        <v>2</v>
      </c>
      <c r="K160">
        <v>0</v>
      </c>
    </row>
    <row r="161" spans="1:9">
      <c r="A161" t="s">
        <v>105</v>
      </c>
      <c r="B161" s="2" t="s">
        <v>377</v>
      </c>
      <c r="C161" s="9">
        <f>+C166-C209-C160</f>
        <v>1</v>
      </c>
      <c r="D161">
        <f>+D166-D209-D160</f>
        <v>4</v>
      </c>
      <c r="F161" s="42">
        <f>+F166-F209-F160</f>
        <v>4</v>
      </c>
      <c r="G161" s="15">
        <f>+G166-G209-G160</f>
        <v>2</v>
      </c>
      <c r="H161" s="9">
        <f>+H166-H209-H160</f>
        <v>4</v>
      </c>
      <c r="I161">
        <f>5-3</f>
        <v>2</v>
      </c>
    </row>
    <row r="162" spans="1:9">
      <c r="A162" t="s">
        <v>111</v>
      </c>
      <c r="B162" s="2" t="s">
        <v>106</v>
      </c>
      <c r="C162" s="13" t="s">
        <v>255</v>
      </c>
      <c r="F162" s="42"/>
      <c r="G162" s="9"/>
    </row>
    <row r="163" spans="1:9">
      <c r="A163" t="s">
        <v>112</v>
      </c>
      <c r="B163" s="2" t="s">
        <v>378</v>
      </c>
      <c r="F163" s="42"/>
      <c r="G163" s="9"/>
    </row>
    <row r="164" spans="1:9">
      <c r="A164" t="s">
        <v>268</v>
      </c>
      <c r="B164" s="2" t="s">
        <v>379</v>
      </c>
      <c r="F164" s="42"/>
      <c r="G164" s="9"/>
    </row>
    <row r="165" spans="1:9">
      <c r="A165" t="s">
        <v>110</v>
      </c>
      <c r="B165" s="2" t="s">
        <v>380</v>
      </c>
      <c r="C165" s="9">
        <v>-8</v>
      </c>
      <c r="F165" s="42"/>
      <c r="G165" s="9"/>
    </row>
    <row r="166" spans="1:9">
      <c r="A166" t="s">
        <v>300</v>
      </c>
      <c r="B166" s="2" t="s">
        <v>381</v>
      </c>
      <c r="C166" s="9">
        <v>2</v>
      </c>
      <c r="D166">
        <v>3.5</v>
      </c>
      <c r="F166" s="42">
        <v>2</v>
      </c>
      <c r="G166" s="9">
        <v>2.5</v>
      </c>
      <c r="H166" s="9">
        <v>4</v>
      </c>
      <c r="I166">
        <v>5</v>
      </c>
    </row>
    <row r="167" spans="1:9">
      <c r="A167" t="s">
        <v>301</v>
      </c>
      <c r="B167" s="2" t="s">
        <v>284</v>
      </c>
      <c r="C167" s="9">
        <v>1.5</v>
      </c>
      <c r="F167" s="42"/>
      <c r="G167" s="9"/>
    </row>
    <row r="168" spans="1:9">
      <c r="F168" s="42"/>
      <c r="G168" s="9"/>
    </row>
    <row r="169" spans="1:9" outlineLevel="1">
      <c r="A169" s="1" t="s">
        <v>297</v>
      </c>
      <c r="F169" s="42"/>
      <c r="G169" s="9"/>
    </row>
    <row r="170" spans="1:9" outlineLevel="1">
      <c r="A170" t="s">
        <v>113</v>
      </c>
      <c r="B170" s="2" t="s">
        <v>126</v>
      </c>
      <c r="C170" s="25" t="s">
        <v>255</v>
      </c>
      <c r="F170" s="42"/>
      <c r="G170" s="9"/>
    </row>
    <row r="171" spans="1:9" outlineLevel="1">
      <c r="A171" t="s">
        <v>114</v>
      </c>
      <c r="B171" s="2" t="s">
        <v>127</v>
      </c>
      <c r="C171" s="26"/>
      <c r="F171" s="42"/>
      <c r="G171" s="9"/>
    </row>
    <row r="172" spans="1:9" outlineLevel="1">
      <c r="A172" t="s">
        <v>115</v>
      </c>
      <c r="B172" s="2" t="s">
        <v>128</v>
      </c>
      <c r="C172" s="26"/>
      <c r="F172" s="42"/>
      <c r="G172" s="9"/>
    </row>
    <row r="173" spans="1:9" outlineLevel="1">
      <c r="A173" t="s">
        <v>116</v>
      </c>
      <c r="B173" s="2" t="s">
        <v>129</v>
      </c>
      <c r="C173" s="26"/>
      <c r="F173" s="42"/>
      <c r="G173" s="9"/>
    </row>
    <row r="174" spans="1:9" outlineLevel="1">
      <c r="A174" t="s">
        <v>117</v>
      </c>
      <c r="B174" s="2" t="s">
        <v>130</v>
      </c>
      <c r="C174" s="26"/>
      <c r="F174" s="42"/>
      <c r="G174" s="9"/>
    </row>
    <row r="175" spans="1:9" outlineLevel="1">
      <c r="A175" t="s">
        <v>118</v>
      </c>
      <c r="B175" s="2" t="s">
        <v>131</v>
      </c>
      <c r="C175" s="26"/>
      <c r="F175" s="42"/>
      <c r="G175" s="9"/>
    </row>
    <row r="176" spans="1:9" outlineLevel="1">
      <c r="A176" t="s">
        <v>121</v>
      </c>
      <c r="B176" s="2" t="s">
        <v>137</v>
      </c>
      <c r="C176" s="26"/>
      <c r="D176">
        <v>0.5</v>
      </c>
      <c r="F176" s="42"/>
      <c r="G176" s="9"/>
      <c r="H176" s="9">
        <v>1.7</v>
      </c>
    </row>
    <row r="177" spans="1:8" outlineLevel="1">
      <c r="A177" t="s">
        <v>119</v>
      </c>
      <c r="B177" s="2" t="s">
        <v>138</v>
      </c>
      <c r="C177" s="26"/>
      <c r="D177">
        <v>1.5</v>
      </c>
      <c r="F177" s="42"/>
      <c r="G177" s="9"/>
      <c r="H177" s="9">
        <v>5.5</v>
      </c>
    </row>
    <row r="178" spans="1:8" outlineLevel="1">
      <c r="A178" t="s">
        <v>120</v>
      </c>
      <c r="B178" s="2" t="s">
        <v>132</v>
      </c>
      <c r="C178" s="26"/>
      <c r="D178">
        <v>1.5</v>
      </c>
      <c r="F178" s="42"/>
      <c r="G178" s="9"/>
      <c r="H178" s="9">
        <f>+H177</f>
        <v>5.5</v>
      </c>
    </row>
    <row r="179" spans="1:8" outlineLevel="1">
      <c r="A179" t="s">
        <v>122</v>
      </c>
      <c r="B179" s="2" t="s">
        <v>136</v>
      </c>
      <c r="C179" s="26"/>
      <c r="D179">
        <v>0.6</v>
      </c>
      <c r="F179" s="42"/>
      <c r="G179" s="9"/>
      <c r="H179" s="9">
        <v>0.9</v>
      </c>
    </row>
    <row r="180" spans="1:8" outlineLevel="1">
      <c r="A180" t="s">
        <v>224</v>
      </c>
      <c r="B180" s="2" t="s">
        <v>139</v>
      </c>
      <c r="C180" s="26"/>
      <c r="F180" s="42"/>
      <c r="G180" s="9"/>
    </row>
    <row r="181" spans="1:8" outlineLevel="1">
      <c r="A181" t="s">
        <v>123</v>
      </c>
      <c r="B181" s="2" t="s">
        <v>133</v>
      </c>
      <c r="C181" s="26"/>
      <c r="F181" s="42"/>
      <c r="G181" s="9"/>
      <c r="H181" s="9">
        <v>1.3</v>
      </c>
    </row>
    <row r="182" spans="1:8" outlineLevel="1">
      <c r="A182" t="s">
        <v>124</v>
      </c>
      <c r="B182" s="2" t="s">
        <v>134</v>
      </c>
      <c r="C182" s="26"/>
      <c r="F182" s="42"/>
      <c r="G182" s="9"/>
    </row>
    <row r="183" spans="1:8" outlineLevel="1">
      <c r="A183" t="s">
        <v>125</v>
      </c>
      <c r="B183" s="2" t="s">
        <v>135</v>
      </c>
      <c r="C183" s="26"/>
      <c r="F183" s="42"/>
      <c r="G183" s="9"/>
    </row>
    <row r="184" spans="1:8" outlineLevel="1">
      <c r="C184" s="26"/>
      <c r="F184" s="42"/>
      <c r="G184" s="9"/>
    </row>
    <row r="185" spans="1:8" outlineLevel="1">
      <c r="A185" s="1" t="str">
        <f>+A169</f>
        <v>Standard deviation (σ or SE=σ/√n)</v>
      </c>
      <c r="C185" s="26"/>
      <c r="F185" s="42"/>
      <c r="G185" s="9"/>
    </row>
    <row r="186" spans="1:8" outlineLevel="1">
      <c r="A186" t="s">
        <v>140</v>
      </c>
      <c r="B186" s="2" t="s">
        <v>143</v>
      </c>
      <c r="C186" s="26"/>
      <c r="D186">
        <v>0.15</v>
      </c>
      <c r="F186" s="42"/>
      <c r="G186" s="9"/>
      <c r="H186" s="9">
        <v>0.9</v>
      </c>
    </row>
    <row r="187" spans="1:8" outlineLevel="1">
      <c r="A187" t="s">
        <v>142</v>
      </c>
      <c r="B187" s="2" t="s">
        <v>144</v>
      </c>
      <c r="C187" s="26"/>
      <c r="F187" s="42"/>
      <c r="G187" s="9"/>
    </row>
    <row r="188" spans="1:8" outlineLevel="1">
      <c r="A188" t="s">
        <v>141</v>
      </c>
      <c r="B188" s="2" t="s">
        <v>145</v>
      </c>
      <c r="C188" s="26"/>
      <c r="F188" s="42"/>
      <c r="G188" s="9"/>
    </row>
    <row r="189" spans="1:8" outlineLevel="1">
      <c r="A189" t="s">
        <v>146</v>
      </c>
      <c r="B189" s="2" t="s">
        <v>157</v>
      </c>
      <c r="C189" s="26"/>
      <c r="F189" s="42"/>
      <c r="G189" s="9"/>
    </row>
    <row r="190" spans="1:8" outlineLevel="1">
      <c r="A190" t="s">
        <v>225</v>
      </c>
      <c r="B190" s="2" t="s">
        <v>158</v>
      </c>
      <c r="C190" s="26"/>
      <c r="F190" s="42"/>
      <c r="G190" s="9"/>
    </row>
    <row r="191" spans="1:8" outlineLevel="1">
      <c r="A191" t="s">
        <v>147</v>
      </c>
      <c r="B191" s="2" t="s">
        <v>159</v>
      </c>
      <c r="C191" s="26"/>
      <c r="D191">
        <v>0.27</v>
      </c>
      <c r="F191" s="42"/>
      <c r="G191" s="9"/>
      <c r="H191" s="9">
        <v>0.8</v>
      </c>
    </row>
    <row r="192" spans="1:8" outlineLevel="1">
      <c r="A192" t="s">
        <v>148</v>
      </c>
      <c r="B192" s="2" t="s">
        <v>160</v>
      </c>
      <c r="C192" s="26"/>
      <c r="F192" s="42"/>
      <c r="G192" s="9"/>
    </row>
    <row r="193" spans="1:9" outlineLevel="1">
      <c r="A193" t="s">
        <v>149</v>
      </c>
      <c r="B193" s="2" t="s">
        <v>161</v>
      </c>
      <c r="C193" s="26"/>
      <c r="F193" s="42"/>
      <c r="G193" s="9"/>
    </row>
    <row r="194" spans="1:9" outlineLevel="1">
      <c r="A194" t="s">
        <v>150</v>
      </c>
      <c r="B194" s="2" t="s">
        <v>162</v>
      </c>
      <c r="C194" s="26"/>
      <c r="F194" s="42"/>
      <c r="G194" s="9"/>
    </row>
    <row r="195" spans="1:9" outlineLevel="1">
      <c r="A195" t="s">
        <v>151</v>
      </c>
      <c r="B195" s="2" t="s">
        <v>163</v>
      </c>
      <c r="C195" s="26"/>
      <c r="F195" s="42"/>
      <c r="G195" s="9"/>
    </row>
    <row r="196" spans="1:9" outlineLevel="1">
      <c r="A196" t="s">
        <v>152</v>
      </c>
      <c r="B196" s="2" t="s">
        <v>164</v>
      </c>
      <c r="C196" s="26"/>
      <c r="D196">
        <v>0.36</v>
      </c>
      <c r="F196" s="42"/>
      <c r="G196" s="9"/>
      <c r="H196" s="9">
        <v>1.5</v>
      </c>
    </row>
    <row r="197" spans="1:9" outlineLevel="1">
      <c r="A197" t="s">
        <v>153</v>
      </c>
      <c r="B197" s="2" t="s">
        <v>165</v>
      </c>
      <c r="C197" s="26"/>
      <c r="D197">
        <v>3.2</v>
      </c>
      <c r="F197" s="42"/>
      <c r="G197" s="9"/>
    </row>
    <row r="198" spans="1:9" outlineLevel="1">
      <c r="A198" t="s">
        <v>154</v>
      </c>
      <c r="B198" s="2" t="s">
        <v>166</v>
      </c>
      <c r="C198" s="26"/>
      <c r="F198" s="42"/>
      <c r="G198" s="9"/>
      <c r="H198" s="9">
        <v>1</v>
      </c>
    </row>
    <row r="199" spans="1:9" outlineLevel="1">
      <c r="A199" t="s">
        <v>155</v>
      </c>
      <c r="B199" s="2" t="s">
        <v>167</v>
      </c>
      <c r="C199" s="26"/>
      <c r="F199" s="42"/>
      <c r="G199" s="9"/>
      <c r="H199" s="9">
        <v>1</v>
      </c>
    </row>
    <row r="200" spans="1:9" outlineLevel="1">
      <c r="A200" t="s">
        <v>156</v>
      </c>
      <c r="B200" s="2" t="s">
        <v>168</v>
      </c>
      <c r="C200" s="26"/>
      <c r="F200" s="42"/>
      <c r="G200" s="9"/>
    </row>
    <row r="201" spans="1:9" outlineLevel="1">
      <c r="A201" t="s">
        <v>226</v>
      </c>
      <c r="B201" s="2" t="s">
        <v>169</v>
      </c>
      <c r="C201" s="26"/>
      <c r="D201">
        <v>0.6</v>
      </c>
      <c r="F201" s="42"/>
      <c r="G201" s="9"/>
    </row>
    <row r="202" spans="1:9">
      <c r="F202" s="42"/>
      <c r="G202" s="9"/>
    </row>
    <row r="203" spans="1:9">
      <c r="A203" s="1" t="s">
        <v>191</v>
      </c>
      <c r="B203" s="53" t="str">
        <f>+B4</f>
        <v>QMFM (this study MINECOFIN)</v>
      </c>
      <c r="C203" s="52" t="str">
        <f>+C4</f>
        <v>NBR/IMF Rwa</v>
      </c>
      <c r="F203" s="42"/>
      <c r="G203" s="9"/>
    </row>
    <row r="204" spans="1:9">
      <c r="A204" s="39" t="s">
        <v>269</v>
      </c>
      <c r="B204" s="51" t="s">
        <v>250</v>
      </c>
      <c r="C204" s="13" t="s">
        <v>254</v>
      </c>
      <c r="F204" s="42"/>
      <c r="G204" s="9">
        <v>3.7</v>
      </c>
    </row>
    <row r="205" spans="1:9">
      <c r="A205" t="s">
        <v>187</v>
      </c>
      <c r="B205" s="2" t="s">
        <v>181</v>
      </c>
      <c r="C205" s="13" t="s">
        <v>254</v>
      </c>
      <c r="D205">
        <v>2</v>
      </c>
      <c r="F205" s="42">
        <v>2.5</v>
      </c>
      <c r="G205" s="9">
        <v>2</v>
      </c>
      <c r="H205" s="15">
        <f>100*LN(1+2/100)</f>
        <v>1.9802627296179729</v>
      </c>
      <c r="I205">
        <v>2</v>
      </c>
    </row>
    <row r="206" spans="1:9">
      <c r="A206" t="s">
        <v>227</v>
      </c>
      <c r="B206" s="2" t="s">
        <v>170</v>
      </c>
      <c r="C206" s="9">
        <v>0</v>
      </c>
      <c r="D206" s="13" t="s">
        <v>250</v>
      </c>
      <c r="F206" s="42"/>
      <c r="G206" s="13" t="s">
        <v>250</v>
      </c>
      <c r="H206" s="13" t="s">
        <v>250</v>
      </c>
      <c r="I206">
        <v>0</v>
      </c>
    </row>
    <row r="207" spans="1:9">
      <c r="A207" t="s">
        <v>188</v>
      </c>
      <c r="B207" s="2" t="s">
        <v>171</v>
      </c>
      <c r="C207" s="9">
        <v>0</v>
      </c>
      <c r="D207" s="13" t="s">
        <v>250</v>
      </c>
      <c r="F207" s="42"/>
      <c r="G207" s="13" t="s">
        <v>250</v>
      </c>
      <c r="H207" s="13" t="s">
        <v>250</v>
      </c>
    </row>
    <row r="208" spans="1:9">
      <c r="A208" t="s">
        <v>190</v>
      </c>
      <c r="B208" s="2" t="s">
        <v>298</v>
      </c>
      <c r="C208" s="13" t="s">
        <v>254</v>
      </c>
      <c r="D208">
        <f>+D205+D209</f>
        <v>2.5</v>
      </c>
      <c r="F208" s="42">
        <f>+F205+F209</f>
        <v>3.5</v>
      </c>
      <c r="G208">
        <f>+G205+G209</f>
        <v>2.5</v>
      </c>
      <c r="H208" s="15">
        <f>H209+H205</f>
        <v>2.9802627296179729</v>
      </c>
      <c r="I208">
        <v>3</v>
      </c>
    </row>
    <row r="209" spans="1:9">
      <c r="A209" t="s">
        <v>189</v>
      </c>
      <c r="B209" s="2" t="s">
        <v>182</v>
      </c>
      <c r="C209" s="9">
        <v>1</v>
      </c>
      <c r="D209">
        <v>0.5</v>
      </c>
      <c r="F209" s="42">
        <v>1</v>
      </c>
      <c r="G209" s="9">
        <v>0.5</v>
      </c>
      <c r="H209" s="9">
        <v>1</v>
      </c>
      <c r="I209">
        <v>1</v>
      </c>
    </row>
    <row r="210" spans="1:9">
      <c r="A210" s="1" t="s">
        <v>192</v>
      </c>
      <c r="F210" s="42"/>
      <c r="G210" s="9"/>
    </row>
    <row r="211" spans="1:9">
      <c r="A211" t="s">
        <v>259</v>
      </c>
      <c r="B211" s="2" t="s">
        <v>183</v>
      </c>
      <c r="C211" s="27"/>
      <c r="D211">
        <v>0.8</v>
      </c>
      <c r="E211">
        <v>0.4</v>
      </c>
      <c r="F211" s="42"/>
      <c r="G211" s="9"/>
      <c r="H211" s="9">
        <v>0.8</v>
      </c>
      <c r="I211">
        <v>0.5</v>
      </c>
    </row>
    <row r="212" spans="1:9">
      <c r="A212" t="s">
        <v>194</v>
      </c>
      <c r="B212" s="2" t="s">
        <v>184</v>
      </c>
      <c r="C212" s="28"/>
      <c r="E212">
        <v>0.42</v>
      </c>
      <c r="F212" s="42"/>
      <c r="G212" s="9"/>
      <c r="H212" s="9">
        <v>0.3</v>
      </c>
      <c r="I212">
        <v>0.5</v>
      </c>
    </row>
    <row r="213" spans="1:9">
      <c r="A213" t="s">
        <v>195</v>
      </c>
      <c r="B213" s="2" t="s">
        <v>185</v>
      </c>
      <c r="D213" s="13" t="s">
        <v>250</v>
      </c>
      <c r="E213">
        <v>0.85</v>
      </c>
      <c r="F213" s="42"/>
      <c r="G213" s="9"/>
      <c r="H213" s="9">
        <v>0.94</v>
      </c>
      <c r="I213">
        <v>0.5</v>
      </c>
    </row>
    <row r="214" spans="1:9">
      <c r="A214" t="s">
        <v>260</v>
      </c>
      <c r="B214" s="2" t="s">
        <v>186</v>
      </c>
      <c r="C214" s="9">
        <v>0.9</v>
      </c>
      <c r="D214">
        <v>0.5</v>
      </c>
      <c r="F214" s="42"/>
      <c r="G214" s="9"/>
      <c r="H214" s="9">
        <v>0.9</v>
      </c>
    </row>
    <row r="215" spans="1:9">
      <c r="A215" t="s">
        <v>196</v>
      </c>
      <c r="B215" s="2" t="s">
        <v>172</v>
      </c>
      <c r="C215" s="9">
        <v>0.75</v>
      </c>
      <c r="D215" s="13" t="s">
        <v>250</v>
      </c>
      <c r="F215" s="42"/>
      <c r="G215" s="9"/>
    </row>
    <row r="216" spans="1:9">
      <c r="A216" t="s">
        <v>197</v>
      </c>
      <c r="B216" s="2" t="s">
        <v>173</v>
      </c>
      <c r="C216" s="9">
        <v>0.75</v>
      </c>
      <c r="D216" s="13" t="s">
        <v>250</v>
      </c>
      <c r="F216" s="42"/>
      <c r="G216" s="9"/>
    </row>
    <row r="217" spans="1:9">
      <c r="A217" t="s">
        <v>198</v>
      </c>
      <c r="B217" s="2" t="s">
        <v>174</v>
      </c>
      <c r="C217" s="9">
        <v>0.9</v>
      </c>
      <c r="D217" s="13" t="s">
        <v>250</v>
      </c>
      <c r="F217" s="42"/>
      <c r="G217" s="9"/>
    </row>
    <row r="218" spans="1:9">
      <c r="A218" t="s">
        <v>199</v>
      </c>
      <c r="B218" s="2" t="s">
        <v>175</v>
      </c>
      <c r="C218" s="9">
        <v>0.9</v>
      </c>
      <c r="D218" s="13" t="s">
        <v>250</v>
      </c>
      <c r="F218" s="42"/>
      <c r="G218" s="9"/>
      <c r="H218" s="9">
        <v>0</v>
      </c>
    </row>
    <row r="219" spans="1:9">
      <c r="A219" s="1" t="s">
        <v>193</v>
      </c>
      <c r="F219" s="42"/>
      <c r="G219" s="9"/>
    </row>
    <row r="220" spans="1:9">
      <c r="A220" t="s">
        <v>200</v>
      </c>
      <c r="B220" s="2" t="s">
        <v>386</v>
      </c>
      <c r="D220">
        <v>0.25</v>
      </c>
      <c r="F220" s="42"/>
      <c r="G220" s="9"/>
      <c r="H220" s="9">
        <v>0.56000000000000005</v>
      </c>
    </row>
    <row r="221" spans="1:9">
      <c r="A221" t="s">
        <v>201</v>
      </c>
      <c r="B221" s="2" t="s">
        <v>176</v>
      </c>
      <c r="D221">
        <v>1.3</v>
      </c>
      <c r="F221" s="42"/>
      <c r="G221" s="9"/>
      <c r="H221" s="9">
        <v>2.0299999999999998</v>
      </c>
    </row>
    <row r="222" spans="1:9">
      <c r="A222" t="s">
        <v>203</v>
      </c>
      <c r="B222" s="2" t="s">
        <v>177</v>
      </c>
      <c r="D222">
        <v>0.45</v>
      </c>
      <c r="F222" s="42"/>
      <c r="G222" s="9"/>
      <c r="H222" s="9">
        <v>0.44</v>
      </c>
    </row>
    <row r="223" spans="1:9">
      <c r="A223" t="s">
        <v>202</v>
      </c>
      <c r="B223" s="2" t="s">
        <v>178</v>
      </c>
      <c r="D223">
        <v>0.75</v>
      </c>
      <c r="F223" s="42"/>
      <c r="G223" s="9"/>
      <c r="H223" s="9">
        <v>0.1</v>
      </c>
    </row>
    <row r="224" spans="1:9">
      <c r="A224" t="s">
        <v>204</v>
      </c>
      <c r="B224" s="2" t="s">
        <v>179</v>
      </c>
      <c r="D224">
        <v>1.5</v>
      </c>
      <c r="F224" s="42"/>
      <c r="G224" s="9"/>
    </row>
    <row r="225" spans="1:7">
      <c r="A225" t="s">
        <v>205</v>
      </c>
      <c r="B225" s="2" t="s">
        <v>180</v>
      </c>
      <c r="D225">
        <v>1.5</v>
      </c>
      <c r="F225" s="42"/>
      <c r="G225" s="9"/>
    </row>
    <row r="226" spans="1:7">
      <c r="A226" t="s">
        <v>206</v>
      </c>
      <c r="B226" s="2" t="s">
        <v>221</v>
      </c>
      <c r="D226" s="13" t="s">
        <v>250</v>
      </c>
      <c r="F226" s="42"/>
      <c r="G226" s="9"/>
    </row>
    <row r="227" spans="1:7">
      <c r="A227" t="s">
        <v>207</v>
      </c>
      <c r="B227" s="2" t="s">
        <v>222</v>
      </c>
      <c r="D227" s="13" t="s">
        <v>250</v>
      </c>
      <c r="F227" s="42"/>
      <c r="G227" s="9"/>
    </row>
    <row r="228" spans="1:7">
      <c r="G228" s="9"/>
    </row>
    <row r="229" spans="1:7">
      <c r="A229" s="1" t="s">
        <v>17</v>
      </c>
      <c r="G229" s="9"/>
    </row>
    <row r="230" spans="1:7">
      <c r="A230" t="s">
        <v>228</v>
      </c>
      <c r="B230" s="2" t="s">
        <v>210</v>
      </c>
      <c r="C230" s="13" t="s">
        <v>250</v>
      </c>
      <c r="D230" s="13" t="s">
        <v>250</v>
      </c>
      <c r="G230" s="9"/>
    </row>
    <row r="231" spans="1:7">
      <c r="A231" t="s">
        <v>229</v>
      </c>
      <c r="B231" s="2" t="s">
        <v>211</v>
      </c>
      <c r="C231" s="13" t="s">
        <v>250</v>
      </c>
      <c r="D231" s="13" t="s">
        <v>250</v>
      </c>
      <c r="G231" s="9"/>
    </row>
    <row r="232" spans="1:7">
      <c r="A232" t="s">
        <v>209</v>
      </c>
      <c r="B232" s="2" t="s">
        <v>212</v>
      </c>
      <c r="C232" s="13" t="s">
        <v>250</v>
      </c>
      <c r="D232" s="13" t="s">
        <v>250</v>
      </c>
      <c r="G232" s="9"/>
    </row>
    <row r="233" spans="1:7">
      <c r="A233" t="s">
        <v>213</v>
      </c>
      <c r="B233" s="2" t="s">
        <v>215</v>
      </c>
      <c r="C233" s="13" t="s">
        <v>250</v>
      </c>
      <c r="D233" s="13" t="s">
        <v>250</v>
      </c>
      <c r="G233" s="9"/>
    </row>
    <row r="234" spans="1:7">
      <c r="A234" t="s">
        <v>214</v>
      </c>
      <c r="B234" s="2" t="s">
        <v>216</v>
      </c>
      <c r="C234" s="13" t="s">
        <v>250</v>
      </c>
      <c r="D234" s="13" t="s">
        <v>250</v>
      </c>
      <c r="G234" s="9"/>
    </row>
    <row r="235" spans="1:7">
      <c r="G235" s="9"/>
    </row>
    <row r="236" spans="1:7">
      <c r="A236" t="s">
        <v>217</v>
      </c>
      <c r="B236" s="2" t="s">
        <v>218</v>
      </c>
      <c r="C236" s="13" t="s">
        <v>250</v>
      </c>
      <c r="D236" s="13" t="s">
        <v>250</v>
      </c>
      <c r="G236" s="9"/>
    </row>
    <row r="237" spans="1:7">
      <c r="A237" t="s">
        <v>219</v>
      </c>
      <c r="B237" s="2" t="s">
        <v>387</v>
      </c>
      <c r="C237" s="13" t="s">
        <v>250</v>
      </c>
      <c r="D237" s="13" t="s">
        <v>250</v>
      </c>
      <c r="G237" s="9"/>
    </row>
  </sheetData>
  <dataValidations count="1">
    <dataValidation allowBlank="1" showInputMessage="1" showErrorMessage="1" prompt="The model specfication no longer have this IS curve specification" sqref="A71:A78" xr:uid="{BE084419-23BD-46CD-9467-F318ABD2F8A1}"/>
  </dataValidations>
  <pageMargins left="0.2" right="0.2" top="0.25" bottom="0.25" header="0.3" footer="0.3"/>
  <pageSetup scale="70" orientation="landscape" horizontalDpi="4294967294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5FF5-F233-4AC2-840A-6D28A8836A24}">
  <dimension ref="B1:D225"/>
  <sheetViews>
    <sheetView tabSelected="1" topLeftCell="A28" zoomScale="110" zoomScaleNormal="110" workbookViewId="0">
      <selection activeCell="B47" sqref="B47"/>
    </sheetView>
  </sheetViews>
  <sheetFormatPr defaultRowHeight="14.75" outlineLevelRow="1"/>
  <cols>
    <col min="2" max="2" width="52.86328125" customWidth="1"/>
    <col min="3" max="3" width="37.2265625" style="76" customWidth="1"/>
    <col min="4" max="4" width="13.6328125" customWidth="1"/>
  </cols>
  <sheetData>
    <row r="1" spans="2:4" ht="16.5" thickBot="1">
      <c r="B1" s="84" t="s">
        <v>310</v>
      </c>
      <c r="C1" s="85" t="s">
        <v>431</v>
      </c>
      <c r="D1" s="5"/>
    </row>
    <row r="2" spans="2:4" s="7" customFormat="1" ht="15.5" thickTop="1">
      <c r="B2" s="77"/>
      <c r="C2" s="86"/>
      <c r="D2" s="1"/>
    </row>
    <row r="3" spans="2:4">
      <c r="B3" s="78" t="s">
        <v>444</v>
      </c>
      <c r="C3" s="87"/>
    </row>
    <row r="4" spans="2:4">
      <c r="B4" s="78" t="s">
        <v>445</v>
      </c>
      <c r="C4" s="87"/>
    </row>
    <row r="5" spans="2:4">
      <c r="B5" s="78" t="s">
        <v>447</v>
      </c>
      <c r="C5" s="87"/>
    </row>
    <row r="6" spans="2:4">
      <c r="B6" s="78" t="s">
        <v>308</v>
      </c>
      <c r="C6" s="87"/>
    </row>
    <row r="7" spans="2:4">
      <c r="B7" s="79" t="s">
        <v>441</v>
      </c>
      <c r="C7" s="87" t="s">
        <v>443</v>
      </c>
    </row>
    <row r="8" spans="2:4">
      <c r="B8" s="80" t="s">
        <v>303</v>
      </c>
      <c r="C8" s="87" t="s">
        <v>442</v>
      </c>
    </row>
    <row r="9" spans="2:4">
      <c r="B9" s="78" t="s">
        <v>309</v>
      </c>
      <c r="C9" s="87"/>
    </row>
    <row r="10" spans="2:4">
      <c r="B10" s="80" t="s">
        <v>312</v>
      </c>
      <c r="C10" s="87" t="s">
        <v>305</v>
      </c>
    </row>
    <row r="11" spans="2:4">
      <c r="B11" s="80" t="s">
        <v>313</v>
      </c>
      <c r="C11" s="87" t="s">
        <v>304</v>
      </c>
    </row>
    <row r="12" spans="2:4">
      <c r="B12" s="80" t="s">
        <v>314</v>
      </c>
      <c r="C12" s="87" t="s">
        <v>306</v>
      </c>
    </row>
    <row r="13" spans="2:4">
      <c r="B13" s="78" t="s">
        <v>315</v>
      </c>
      <c r="C13" s="87"/>
    </row>
    <row r="14" spans="2:4">
      <c r="B14" s="80" t="s">
        <v>303</v>
      </c>
      <c r="C14" s="87" t="s">
        <v>316</v>
      </c>
    </row>
    <row r="15" spans="2:4">
      <c r="B15" s="80" t="s">
        <v>318</v>
      </c>
      <c r="C15" s="87" t="s">
        <v>317</v>
      </c>
    </row>
    <row r="16" spans="2:4">
      <c r="B16" s="80"/>
      <c r="C16" s="87"/>
    </row>
    <row r="17" spans="2:3">
      <c r="B17" s="78" t="s">
        <v>446</v>
      </c>
      <c r="C17" s="88"/>
    </row>
    <row r="18" spans="2:3">
      <c r="B18" s="78" t="s">
        <v>319</v>
      </c>
      <c r="C18" s="88"/>
    </row>
    <row r="19" spans="2:3">
      <c r="B19" s="80" t="s">
        <v>303</v>
      </c>
      <c r="C19" s="87" t="s">
        <v>320</v>
      </c>
    </row>
    <row r="20" spans="2:3">
      <c r="B20" s="80" t="s">
        <v>321</v>
      </c>
      <c r="C20" s="87" t="s">
        <v>388</v>
      </c>
    </row>
    <row r="21" spans="2:3">
      <c r="B21" s="78" t="s">
        <v>309</v>
      </c>
      <c r="C21" s="87"/>
    </row>
    <row r="22" spans="2:3">
      <c r="B22" s="80" t="s">
        <v>303</v>
      </c>
      <c r="C22" s="87" t="s">
        <v>322</v>
      </c>
    </row>
    <row r="23" spans="2:3">
      <c r="B23" s="80" t="s">
        <v>321</v>
      </c>
      <c r="C23" s="87" t="s">
        <v>332</v>
      </c>
    </row>
    <row r="24" spans="2:3">
      <c r="B24" s="78" t="s">
        <v>353</v>
      </c>
      <c r="C24" s="87"/>
    </row>
    <row r="25" spans="2:3">
      <c r="B25" s="80" t="s">
        <v>303</v>
      </c>
      <c r="C25" s="87" t="s">
        <v>323</v>
      </c>
    </row>
    <row r="26" spans="2:3">
      <c r="B26" s="80" t="s">
        <v>449</v>
      </c>
      <c r="C26" s="87" t="s">
        <v>333</v>
      </c>
    </row>
    <row r="27" spans="2:3">
      <c r="B27" s="80"/>
      <c r="C27" s="87"/>
    </row>
    <row r="28" spans="2:3">
      <c r="B28" s="78" t="s">
        <v>329</v>
      </c>
      <c r="C28" s="87"/>
    </row>
    <row r="29" spans="2:3">
      <c r="B29" s="79" t="s">
        <v>448</v>
      </c>
      <c r="C29" s="87" t="s">
        <v>326</v>
      </c>
    </row>
    <row r="30" spans="2:3">
      <c r="B30" s="78" t="s">
        <v>328</v>
      </c>
      <c r="C30" s="87"/>
    </row>
    <row r="31" spans="2:3">
      <c r="B31" s="80" t="s">
        <v>303</v>
      </c>
      <c r="C31" s="87" t="s">
        <v>330</v>
      </c>
    </row>
    <row r="32" spans="2:3">
      <c r="B32" s="80" t="s">
        <v>325</v>
      </c>
      <c r="C32" s="89" t="s">
        <v>334</v>
      </c>
    </row>
    <row r="33" spans="2:3">
      <c r="B33" s="80"/>
      <c r="C33" s="89"/>
    </row>
    <row r="34" spans="2:3">
      <c r="B34" s="78" t="s">
        <v>352</v>
      </c>
      <c r="C34" s="87"/>
    </row>
    <row r="35" spans="2:3">
      <c r="B35" s="78" t="s">
        <v>351</v>
      </c>
      <c r="C35" s="87"/>
    </row>
    <row r="36" spans="2:3">
      <c r="B36" s="80" t="s">
        <v>9</v>
      </c>
      <c r="C36" s="87" t="s">
        <v>13</v>
      </c>
    </row>
    <row r="37" spans="2:3">
      <c r="B37" s="80" t="s">
        <v>10</v>
      </c>
      <c r="C37" s="87" t="s">
        <v>14</v>
      </c>
    </row>
    <row r="38" spans="2:3">
      <c r="B38" s="80" t="s">
        <v>29</v>
      </c>
      <c r="C38" s="87" t="s">
        <v>15</v>
      </c>
    </row>
    <row r="39" spans="2:3">
      <c r="B39" s="80" t="s">
        <v>11</v>
      </c>
      <c r="C39" s="87" t="s">
        <v>389</v>
      </c>
    </row>
    <row r="40" spans="2:3">
      <c r="B40" s="80" t="s">
        <v>12</v>
      </c>
      <c r="C40" s="87" t="s">
        <v>336</v>
      </c>
    </row>
    <row r="41" spans="2:3">
      <c r="B41" s="80" t="s">
        <v>390</v>
      </c>
      <c r="C41" s="87" t="s">
        <v>290</v>
      </c>
    </row>
    <row r="42" spans="2:3">
      <c r="B42" s="81" t="s">
        <v>450</v>
      </c>
      <c r="C42" s="87"/>
    </row>
    <row r="43" spans="2:3">
      <c r="B43" s="81"/>
      <c r="C43" s="87"/>
    </row>
    <row r="44" spans="2:3">
      <c r="B44" s="78" t="s">
        <v>350</v>
      </c>
      <c r="C44" s="87"/>
    </row>
    <row r="45" spans="2:3">
      <c r="B45" s="80" t="str">
        <f t="shared" ref="B45:B50" si="0">+B36</f>
        <v>Lag, persistence (AR1)</v>
      </c>
      <c r="C45" s="87" t="s">
        <v>18</v>
      </c>
    </row>
    <row r="46" spans="2:3">
      <c r="B46" s="80" t="str">
        <f t="shared" si="0"/>
        <v>Expectation (t+1)</v>
      </c>
      <c r="C46" s="87" t="s">
        <v>19</v>
      </c>
    </row>
    <row r="47" spans="2:3">
      <c r="B47" s="80" t="str">
        <f t="shared" si="0"/>
        <v>Real Monetary Conditions Index (RMCI)</v>
      </c>
      <c r="C47" s="87" t="s">
        <v>287</v>
      </c>
    </row>
    <row r="48" spans="2:3">
      <c r="B48" s="80" t="str">
        <f t="shared" si="0"/>
        <v>Output gap</v>
      </c>
      <c r="C48" s="87" t="s">
        <v>391</v>
      </c>
    </row>
    <row r="49" spans="2:3">
      <c r="B49" s="80" t="str">
        <f t="shared" si="0"/>
        <v>Fiscal impulse</v>
      </c>
      <c r="C49" s="87" t="s">
        <v>339</v>
      </c>
    </row>
    <row r="50" spans="2:3">
      <c r="B50" s="80" t="str">
        <f t="shared" si="0"/>
        <v>Weight of RIR in RMCI (or RIR direct effect, if RMCI n.a.)</v>
      </c>
      <c r="C50" s="87" t="s">
        <v>291</v>
      </c>
    </row>
    <row r="51" spans="2:3">
      <c r="B51" s="80"/>
      <c r="C51" s="87"/>
    </row>
    <row r="52" spans="2:3">
      <c r="B52" s="80"/>
      <c r="C52" s="87"/>
    </row>
    <row r="53" spans="2:3">
      <c r="B53" s="78" t="s">
        <v>349</v>
      </c>
      <c r="C53" s="87"/>
    </row>
    <row r="54" spans="2:3">
      <c r="B54" s="80" t="str">
        <f>+B36</f>
        <v>Lag, persistence (AR1)</v>
      </c>
      <c r="C54" s="87" t="s">
        <v>21</v>
      </c>
    </row>
    <row r="55" spans="2:3">
      <c r="B55" s="80" t="str">
        <f>+B37</f>
        <v>Expectation (t+1)</v>
      </c>
      <c r="C55" s="87" t="s">
        <v>22</v>
      </c>
    </row>
    <row r="56" spans="2:3">
      <c r="B56" s="80" t="str">
        <f>+B38</f>
        <v>Real Monetary Conditions Index (RMCI)</v>
      </c>
      <c r="C56" s="87" t="s">
        <v>392</v>
      </c>
    </row>
    <row r="57" spans="2:3">
      <c r="B57" s="80" t="s">
        <v>20</v>
      </c>
      <c r="C57" s="87" t="s">
        <v>393</v>
      </c>
    </row>
    <row r="58" spans="2:3">
      <c r="B58" s="80" t="str">
        <f>+B50</f>
        <v>Weight of RIR in RMCI (or RIR direct effect, if RMCI n.a.)</v>
      </c>
      <c r="C58" s="87" t="s">
        <v>23</v>
      </c>
    </row>
    <row r="59" spans="2:3">
      <c r="B59" s="81" t="s">
        <v>280</v>
      </c>
      <c r="C59" s="88" t="s">
        <v>340</v>
      </c>
    </row>
    <row r="60" spans="2:3">
      <c r="B60" s="81"/>
      <c r="C60" s="87"/>
    </row>
    <row r="61" spans="2:3">
      <c r="B61" s="78" t="s">
        <v>348</v>
      </c>
      <c r="C61" s="87"/>
    </row>
    <row r="62" spans="2:3">
      <c r="B62" s="80" t="s">
        <v>25</v>
      </c>
      <c r="C62" s="87" t="s">
        <v>394</v>
      </c>
    </row>
    <row r="63" spans="2:3">
      <c r="B63" s="80" t="s">
        <v>26</v>
      </c>
      <c r="C63" s="87" t="s">
        <v>395</v>
      </c>
    </row>
    <row r="64" spans="2:3">
      <c r="B64" s="80" t="s">
        <v>27</v>
      </c>
      <c r="C64" s="87" t="s">
        <v>396</v>
      </c>
    </row>
    <row r="65" spans="2:3">
      <c r="B65" s="80" t="s">
        <v>28</v>
      </c>
      <c r="C65" s="87" t="s">
        <v>397</v>
      </c>
    </row>
    <row r="66" spans="2:3">
      <c r="B66" s="80" t="s">
        <v>24</v>
      </c>
      <c r="C66" s="87" t="s">
        <v>292</v>
      </c>
    </row>
    <row r="67" spans="2:3">
      <c r="B67" s="80" t="s">
        <v>0</v>
      </c>
      <c r="C67" s="87" t="s">
        <v>0</v>
      </c>
    </row>
    <row r="68" spans="2:3">
      <c r="B68" s="78" t="s">
        <v>412</v>
      </c>
      <c r="C68" s="87"/>
    </row>
    <row r="69" spans="2:3">
      <c r="B69" s="80" t="s">
        <v>34</v>
      </c>
      <c r="C69" s="87" t="s">
        <v>31</v>
      </c>
    </row>
    <row r="70" spans="2:3">
      <c r="B70" s="80" t="s">
        <v>35</v>
      </c>
      <c r="C70" s="87" t="s">
        <v>32</v>
      </c>
    </row>
    <row r="71" spans="2:3">
      <c r="B71" s="80" t="s">
        <v>36</v>
      </c>
      <c r="C71" s="87" t="s">
        <v>33</v>
      </c>
    </row>
    <row r="72" spans="2:3">
      <c r="B72" s="80" t="s">
        <v>37</v>
      </c>
      <c r="C72" s="87" t="s">
        <v>355</v>
      </c>
    </row>
    <row r="73" spans="2:3">
      <c r="B73" s="80" t="s">
        <v>38</v>
      </c>
      <c r="C73" s="87" t="s">
        <v>398</v>
      </c>
    </row>
    <row r="74" spans="2:3">
      <c r="B74" s="80"/>
      <c r="C74" s="87"/>
    </row>
    <row r="75" spans="2:3" ht="16.5">
      <c r="B75" s="78" t="s">
        <v>413</v>
      </c>
      <c r="C75" s="87"/>
    </row>
    <row r="76" spans="2:3">
      <c r="B76" s="80" t="str">
        <f>+B36</f>
        <v>Lag, persistence (AR1)</v>
      </c>
      <c r="C76" s="87" t="s">
        <v>434</v>
      </c>
    </row>
    <row r="77" spans="2:3">
      <c r="B77" s="80" t="str">
        <f>+B37</f>
        <v>Expectation (t+1)</v>
      </c>
      <c r="C77" s="87" t="s">
        <v>46</v>
      </c>
    </row>
    <row r="78" spans="2:3">
      <c r="B78" s="80" t="s">
        <v>45</v>
      </c>
      <c r="C78" s="87" t="s">
        <v>47</v>
      </c>
    </row>
    <row r="79" spans="2:3">
      <c r="B79" s="80" t="s">
        <v>50</v>
      </c>
      <c r="C79" s="87" t="s">
        <v>435</v>
      </c>
    </row>
    <row r="80" spans="2:3">
      <c r="B80" s="80" t="s">
        <v>237</v>
      </c>
      <c r="C80" s="87" t="s">
        <v>48</v>
      </c>
    </row>
    <row r="81" spans="2:3">
      <c r="B81" s="81" t="s">
        <v>242</v>
      </c>
      <c r="C81" s="88" t="s">
        <v>439</v>
      </c>
    </row>
    <row r="82" spans="2:3">
      <c r="B82" s="81"/>
      <c r="C82" s="88"/>
    </row>
    <row r="83" spans="2:3" ht="16.5">
      <c r="B83" s="78" t="s">
        <v>414</v>
      </c>
      <c r="C83" s="87"/>
    </row>
    <row r="84" spans="2:3">
      <c r="B84" s="80" t="str">
        <f>+B76</f>
        <v>Lag, persistence (AR1)</v>
      </c>
      <c r="C84" s="87" t="s">
        <v>399</v>
      </c>
    </row>
    <row r="85" spans="2:3">
      <c r="B85" s="80" t="str">
        <f t="shared" ref="B85:B86" si="1">+B77</f>
        <v>Expectation (t+1)</v>
      </c>
      <c r="C85" s="87" t="s">
        <v>294</v>
      </c>
    </row>
    <row r="86" spans="2:3">
      <c r="B86" s="80" t="str">
        <f t="shared" si="1"/>
        <v xml:space="preserve">Real marginal cost (RMC) </v>
      </c>
      <c r="C86" s="87" t="s">
        <v>52</v>
      </c>
    </row>
    <row r="87" spans="2:3">
      <c r="B87" s="80" t="s">
        <v>49</v>
      </c>
      <c r="C87" s="87" t="s">
        <v>436</v>
      </c>
    </row>
    <row r="88" spans="2:3">
      <c r="B88" s="80" t="s">
        <v>415</v>
      </c>
      <c r="C88" s="87" t="s">
        <v>362</v>
      </c>
    </row>
    <row r="89" spans="2:3">
      <c r="B89" s="80" t="s">
        <v>256</v>
      </c>
      <c r="C89" s="90" t="s">
        <v>250</v>
      </c>
    </row>
    <row r="90" spans="2:3">
      <c r="B90" s="81" t="s">
        <v>285</v>
      </c>
      <c r="C90" s="90" t="s">
        <v>250</v>
      </c>
    </row>
    <row r="91" spans="2:3">
      <c r="B91" s="81"/>
      <c r="C91" s="90"/>
    </row>
    <row r="92" spans="2:3" ht="16.5">
      <c r="B92" s="78" t="s">
        <v>416</v>
      </c>
      <c r="C92" s="87"/>
    </row>
    <row r="93" spans="2:3">
      <c r="B93" s="80" t="str">
        <f>+B76</f>
        <v>Lag, persistence (AR1)</v>
      </c>
      <c r="C93" s="87" t="s">
        <v>400</v>
      </c>
    </row>
    <row r="94" spans="2:3">
      <c r="B94" s="80" t="str">
        <f>+B77</f>
        <v>Expectation (t+1)</v>
      </c>
      <c r="C94" s="87" t="s">
        <v>295</v>
      </c>
    </row>
    <row r="95" spans="2:3">
      <c r="B95" s="80" t="str">
        <f>+B78</f>
        <v xml:space="preserve">Real marginal cost (RMC) </v>
      </c>
      <c r="C95" s="87" t="s">
        <v>366</v>
      </c>
    </row>
    <row r="96" spans="2:3">
      <c r="B96" s="80" t="s">
        <v>53</v>
      </c>
      <c r="C96" s="87" t="s">
        <v>437</v>
      </c>
    </row>
    <row r="97" spans="2:3">
      <c r="B97" s="81" t="s">
        <v>286</v>
      </c>
      <c r="C97" s="90" t="s">
        <v>250</v>
      </c>
    </row>
    <row r="98" spans="2:3">
      <c r="B98" s="81"/>
      <c r="C98" s="90"/>
    </row>
    <row r="99" spans="2:3">
      <c r="B99" s="78" t="s">
        <v>359</v>
      </c>
      <c r="C99" s="87"/>
    </row>
    <row r="100" spans="2:3">
      <c r="B100" s="80" t="s">
        <v>55</v>
      </c>
      <c r="C100" s="87" t="s">
        <v>57</v>
      </c>
    </row>
    <row r="101" spans="2:3">
      <c r="B101" s="80" t="s">
        <v>54</v>
      </c>
      <c r="C101" s="87" t="s">
        <v>58</v>
      </c>
    </row>
    <row r="102" spans="2:3">
      <c r="B102" s="80" t="s">
        <v>56</v>
      </c>
      <c r="C102" s="87" t="s">
        <v>59</v>
      </c>
    </row>
    <row r="103" spans="2:3">
      <c r="B103" s="80"/>
      <c r="C103" s="87"/>
    </row>
    <row r="104" spans="2:3">
      <c r="B104" s="78" t="s">
        <v>232</v>
      </c>
      <c r="C104" s="87"/>
    </row>
    <row r="105" spans="2:3">
      <c r="B105" s="80" t="str">
        <f>+B36</f>
        <v>Lag, persistence (AR1)</v>
      </c>
      <c r="C105" s="87" t="s">
        <v>401</v>
      </c>
    </row>
    <row r="106" spans="2:3">
      <c r="B106" s="80" t="s">
        <v>60</v>
      </c>
      <c r="C106" s="87" t="s">
        <v>440</v>
      </c>
    </row>
    <row r="107" spans="2:3">
      <c r="B107" s="80" t="s">
        <v>11</v>
      </c>
      <c r="C107" s="87" t="s">
        <v>370</v>
      </c>
    </row>
    <row r="108" spans="2:3">
      <c r="B108" s="80" t="s">
        <v>417</v>
      </c>
      <c r="C108" s="87" t="s">
        <v>61</v>
      </c>
    </row>
    <row r="109" spans="2:3">
      <c r="B109" s="80" t="s">
        <v>64</v>
      </c>
      <c r="C109" s="87" t="s">
        <v>62</v>
      </c>
    </row>
    <row r="110" spans="2:3">
      <c r="B110" s="80" t="s">
        <v>63</v>
      </c>
      <c r="C110" s="87" t="s">
        <v>65</v>
      </c>
    </row>
    <row r="111" spans="2:3">
      <c r="B111" s="80"/>
      <c r="C111" s="87"/>
    </row>
    <row r="112" spans="2:3">
      <c r="B112" s="78" t="s">
        <v>44</v>
      </c>
      <c r="C112" s="87"/>
    </row>
    <row r="113" spans="2:3">
      <c r="B113" s="80" t="s">
        <v>66</v>
      </c>
      <c r="C113" s="87" t="s">
        <v>402</v>
      </c>
    </row>
    <row r="114" spans="2:3">
      <c r="B114" s="80" t="s">
        <v>67</v>
      </c>
      <c r="C114" s="87" t="s">
        <v>403</v>
      </c>
    </row>
    <row r="115" spans="2:3">
      <c r="B115" s="80" t="s">
        <v>289</v>
      </c>
      <c r="C115" s="87" t="s">
        <v>374</v>
      </c>
    </row>
    <row r="116" spans="2:3">
      <c r="B116" s="80" t="s">
        <v>68</v>
      </c>
      <c r="C116" s="87" t="s">
        <v>69</v>
      </c>
    </row>
    <row r="117" spans="2:3">
      <c r="B117" s="80" t="s">
        <v>70</v>
      </c>
      <c r="C117" s="87" t="s">
        <v>71</v>
      </c>
    </row>
    <row r="118" spans="2:3">
      <c r="B118" s="80" t="s">
        <v>72</v>
      </c>
      <c r="C118" s="87" t="s">
        <v>73</v>
      </c>
    </row>
    <row r="119" spans="2:3">
      <c r="B119" s="80" t="s">
        <v>375</v>
      </c>
      <c r="C119" s="87" t="s">
        <v>372</v>
      </c>
    </row>
    <row r="120" spans="2:3">
      <c r="B120" s="80"/>
      <c r="C120" s="87"/>
    </row>
    <row r="121" spans="2:3">
      <c r="B121" s="78" t="s">
        <v>74</v>
      </c>
      <c r="C121" s="87"/>
    </row>
    <row r="122" spans="2:3">
      <c r="B122" s="80" t="str">
        <f>+B36</f>
        <v>Lag, persistence (AR1)</v>
      </c>
      <c r="C122" s="87" t="s">
        <v>77</v>
      </c>
    </row>
    <row r="123" spans="2:3">
      <c r="B123" s="80" t="s">
        <v>252</v>
      </c>
      <c r="C123" s="87" t="s">
        <v>376</v>
      </c>
    </row>
    <row r="124" spans="2:3">
      <c r="B124" s="80" t="s">
        <v>75</v>
      </c>
      <c r="C124" s="87" t="s">
        <v>76</v>
      </c>
    </row>
    <row r="125" spans="2:3">
      <c r="B125" s="80"/>
      <c r="C125" s="87"/>
    </row>
    <row r="126" spans="2:3">
      <c r="B126" s="78" t="s">
        <v>223</v>
      </c>
      <c r="C126" s="87"/>
    </row>
    <row r="127" spans="2:3">
      <c r="B127" s="80" t="s">
        <v>51</v>
      </c>
      <c r="C127" s="87" t="s">
        <v>84</v>
      </c>
    </row>
    <row r="128" spans="2:3">
      <c r="B128" s="80" t="s">
        <v>78</v>
      </c>
      <c r="C128" s="87" t="s">
        <v>85</v>
      </c>
    </row>
    <row r="129" spans="2:3">
      <c r="B129" s="80" t="s">
        <v>418</v>
      </c>
      <c r="C129" s="87" t="s">
        <v>86</v>
      </c>
    </row>
    <row r="130" spans="2:3">
      <c r="B130" s="80" t="s">
        <v>79</v>
      </c>
      <c r="C130" s="87" t="s">
        <v>87</v>
      </c>
    </row>
    <row r="131" spans="2:3">
      <c r="B131" s="80" t="s">
        <v>80</v>
      </c>
      <c r="C131" s="87" t="s">
        <v>88</v>
      </c>
    </row>
    <row r="132" spans="2:3">
      <c r="B132" s="80" t="s">
        <v>81</v>
      </c>
      <c r="C132" s="87" t="s">
        <v>89</v>
      </c>
    </row>
    <row r="133" spans="2:3">
      <c r="B133" s="80" t="s">
        <v>82</v>
      </c>
      <c r="C133" s="87" t="s">
        <v>90</v>
      </c>
    </row>
    <row r="134" spans="2:3">
      <c r="B134" s="80" t="s">
        <v>83</v>
      </c>
      <c r="C134" s="87" t="s">
        <v>91</v>
      </c>
    </row>
    <row r="135" spans="2:3">
      <c r="B135" s="80" t="s">
        <v>419</v>
      </c>
      <c r="C135" s="87" t="s">
        <v>92</v>
      </c>
    </row>
    <row r="136" spans="2:3">
      <c r="B136" s="80" t="s">
        <v>420</v>
      </c>
      <c r="C136" s="87" t="s">
        <v>93</v>
      </c>
    </row>
    <row r="137" spans="2:3">
      <c r="B137" s="80" t="s">
        <v>432</v>
      </c>
      <c r="C137" s="87" t="s">
        <v>250</v>
      </c>
    </row>
    <row r="138" spans="2:3">
      <c r="B138" s="80"/>
      <c r="C138" s="91"/>
    </row>
    <row r="139" spans="2:3">
      <c r="B139" s="78" t="s">
        <v>16</v>
      </c>
      <c r="C139" s="87"/>
    </row>
    <row r="140" spans="2:3">
      <c r="B140" s="80" t="s">
        <v>95</v>
      </c>
      <c r="C140" s="87" t="s">
        <v>94</v>
      </c>
    </row>
    <row r="141" spans="2:3">
      <c r="B141" s="80" t="s">
        <v>96</v>
      </c>
      <c r="C141" s="87" t="s">
        <v>109</v>
      </c>
    </row>
    <row r="142" spans="2:3">
      <c r="B142" s="80" t="s">
        <v>208</v>
      </c>
      <c r="C142" s="87" t="s">
        <v>404</v>
      </c>
    </row>
    <row r="143" spans="2:3">
      <c r="B143" s="80" t="s">
        <v>97</v>
      </c>
      <c r="C143" s="87" t="s">
        <v>405</v>
      </c>
    </row>
    <row r="144" spans="2:3">
      <c r="B144" s="80" t="s">
        <v>98</v>
      </c>
      <c r="C144" s="87" t="s">
        <v>406</v>
      </c>
    </row>
    <row r="145" spans="2:3">
      <c r="B145" s="80" t="s">
        <v>99</v>
      </c>
      <c r="C145" s="87" t="s">
        <v>407</v>
      </c>
    </row>
    <row r="146" spans="2:3">
      <c r="B146" s="80" t="s">
        <v>421</v>
      </c>
      <c r="C146" s="87" t="s">
        <v>438</v>
      </c>
    </row>
    <row r="147" spans="2:3">
      <c r="B147" s="80" t="s">
        <v>422</v>
      </c>
      <c r="C147" s="87" t="s">
        <v>108</v>
      </c>
    </row>
    <row r="148" spans="2:3">
      <c r="B148" s="80" t="s">
        <v>104</v>
      </c>
      <c r="C148" s="87" t="s">
        <v>107</v>
      </c>
    </row>
    <row r="149" spans="2:3">
      <c r="B149" s="80" t="s">
        <v>105</v>
      </c>
      <c r="C149" s="87" t="s">
        <v>377</v>
      </c>
    </row>
    <row r="150" spans="2:3">
      <c r="B150" s="80" t="s">
        <v>423</v>
      </c>
      <c r="C150" s="87" t="s">
        <v>106</v>
      </c>
    </row>
    <row r="151" spans="2:3">
      <c r="B151" s="80" t="s">
        <v>424</v>
      </c>
      <c r="C151" s="87" t="s">
        <v>408</v>
      </c>
    </row>
    <row r="152" spans="2:3">
      <c r="B152" s="80" t="s">
        <v>425</v>
      </c>
      <c r="C152" s="87" t="s">
        <v>409</v>
      </c>
    </row>
    <row r="153" spans="2:3">
      <c r="B153" s="80" t="s">
        <v>110</v>
      </c>
      <c r="C153" s="87" t="s">
        <v>426</v>
      </c>
    </row>
    <row r="154" spans="2:3">
      <c r="B154" s="80" t="s">
        <v>427</v>
      </c>
      <c r="C154" s="87" t="s">
        <v>381</v>
      </c>
    </row>
    <row r="155" spans="2:3">
      <c r="B155" s="80" t="s">
        <v>301</v>
      </c>
      <c r="C155" s="87" t="s">
        <v>284</v>
      </c>
    </row>
    <row r="156" spans="2:3">
      <c r="B156" s="80"/>
      <c r="C156" s="87"/>
    </row>
    <row r="157" spans="2:3" outlineLevel="1">
      <c r="B157" s="78" t="s">
        <v>428</v>
      </c>
      <c r="C157" s="87"/>
    </row>
    <row r="158" spans="2:3" outlineLevel="1">
      <c r="B158" s="80" t="s">
        <v>113</v>
      </c>
      <c r="C158" s="87" t="s">
        <v>126</v>
      </c>
    </row>
    <row r="159" spans="2:3" outlineLevel="1">
      <c r="B159" s="80" t="s">
        <v>114</v>
      </c>
      <c r="C159" s="87" t="s">
        <v>127</v>
      </c>
    </row>
    <row r="160" spans="2:3" outlineLevel="1">
      <c r="B160" s="80" t="s">
        <v>115</v>
      </c>
      <c r="C160" s="87" t="s">
        <v>128</v>
      </c>
    </row>
    <row r="161" spans="2:3" outlineLevel="1">
      <c r="B161" s="80" t="s">
        <v>116</v>
      </c>
      <c r="C161" s="87" t="s">
        <v>129</v>
      </c>
    </row>
    <row r="162" spans="2:3" outlineLevel="1">
      <c r="B162" s="80" t="s">
        <v>117</v>
      </c>
      <c r="C162" s="87" t="s">
        <v>130</v>
      </c>
    </row>
    <row r="163" spans="2:3" outlineLevel="1">
      <c r="B163" s="80" t="s">
        <v>118</v>
      </c>
      <c r="C163" s="87" t="s">
        <v>131</v>
      </c>
    </row>
    <row r="164" spans="2:3" outlineLevel="1">
      <c r="B164" s="80" t="s">
        <v>121</v>
      </c>
      <c r="C164" s="87" t="s">
        <v>137</v>
      </c>
    </row>
    <row r="165" spans="2:3" outlineLevel="1">
      <c r="B165" s="80" t="s">
        <v>119</v>
      </c>
      <c r="C165" s="87" t="s">
        <v>138</v>
      </c>
    </row>
    <row r="166" spans="2:3" outlineLevel="1">
      <c r="B166" s="80" t="s">
        <v>120</v>
      </c>
      <c r="C166" s="87" t="s">
        <v>132</v>
      </c>
    </row>
    <row r="167" spans="2:3" outlineLevel="1">
      <c r="B167" s="80" t="s">
        <v>122</v>
      </c>
      <c r="C167" s="87" t="s">
        <v>136</v>
      </c>
    </row>
    <row r="168" spans="2:3" outlineLevel="1">
      <c r="B168" s="80" t="s">
        <v>224</v>
      </c>
      <c r="C168" s="87" t="s">
        <v>139</v>
      </c>
    </row>
    <row r="169" spans="2:3" outlineLevel="1">
      <c r="B169" s="80" t="s">
        <v>123</v>
      </c>
      <c r="C169" s="87" t="s">
        <v>133</v>
      </c>
    </row>
    <row r="170" spans="2:3" outlineLevel="1">
      <c r="B170" s="80" t="s">
        <v>124</v>
      </c>
      <c r="C170" s="87" t="s">
        <v>134</v>
      </c>
    </row>
    <row r="171" spans="2:3" outlineLevel="1">
      <c r="B171" s="80" t="s">
        <v>125</v>
      </c>
      <c r="C171" s="87" t="s">
        <v>135</v>
      </c>
    </row>
    <row r="172" spans="2:3" outlineLevel="1">
      <c r="B172" s="80"/>
      <c r="C172" s="87"/>
    </row>
    <row r="173" spans="2:3" outlineLevel="1">
      <c r="B173" s="78" t="str">
        <f>+B157</f>
        <v>Standard deviation (σ or SE=σ/√n)</v>
      </c>
      <c r="C173" s="87"/>
    </row>
    <row r="174" spans="2:3" outlineLevel="1">
      <c r="B174" s="80" t="s">
        <v>140</v>
      </c>
      <c r="C174" s="87" t="s">
        <v>143</v>
      </c>
    </row>
    <row r="175" spans="2:3" outlineLevel="1">
      <c r="B175" s="80" t="s">
        <v>142</v>
      </c>
      <c r="C175" s="87" t="s">
        <v>144</v>
      </c>
    </row>
    <row r="176" spans="2:3" outlineLevel="1">
      <c r="B176" s="80" t="s">
        <v>141</v>
      </c>
      <c r="C176" s="87" t="s">
        <v>145</v>
      </c>
    </row>
    <row r="177" spans="2:3" outlineLevel="1">
      <c r="B177" s="80" t="s">
        <v>146</v>
      </c>
      <c r="C177" s="87" t="s">
        <v>157</v>
      </c>
    </row>
    <row r="178" spans="2:3" outlineLevel="1">
      <c r="B178" s="80" t="s">
        <v>225</v>
      </c>
      <c r="C178" s="87" t="s">
        <v>158</v>
      </c>
    </row>
    <row r="179" spans="2:3" outlineLevel="1">
      <c r="B179" s="80" t="s">
        <v>147</v>
      </c>
      <c r="C179" s="87" t="s">
        <v>159</v>
      </c>
    </row>
    <row r="180" spans="2:3" outlineLevel="1">
      <c r="B180" s="80" t="s">
        <v>148</v>
      </c>
      <c r="C180" s="87" t="s">
        <v>160</v>
      </c>
    </row>
    <row r="181" spans="2:3" outlineLevel="1">
      <c r="B181" s="80" t="s">
        <v>149</v>
      </c>
      <c r="C181" s="87" t="s">
        <v>161</v>
      </c>
    </row>
    <row r="182" spans="2:3" outlineLevel="1">
      <c r="B182" s="80" t="s">
        <v>150</v>
      </c>
      <c r="C182" s="87" t="s">
        <v>162</v>
      </c>
    </row>
    <row r="183" spans="2:3" outlineLevel="1">
      <c r="B183" s="80" t="s">
        <v>151</v>
      </c>
      <c r="C183" s="87" t="s">
        <v>163</v>
      </c>
    </row>
    <row r="184" spans="2:3" outlineLevel="1">
      <c r="B184" s="80" t="s">
        <v>152</v>
      </c>
      <c r="C184" s="87" t="s">
        <v>164</v>
      </c>
    </row>
    <row r="185" spans="2:3" outlineLevel="1">
      <c r="B185" s="80" t="s">
        <v>153</v>
      </c>
      <c r="C185" s="87" t="s">
        <v>165</v>
      </c>
    </row>
    <row r="186" spans="2:3" outlineLevel="1">
      <c r="B186" s="80" t="s">
        <v>154</v>
      </c>
      <c r="C186" s="87" t="s">
        <v>166</v>
      </c>
    </row>
    <row r="187" spans="2:3" outlineLevel="1">
      <c r="B187" s="80" t="s">
        <v>155</v>
      </c>
      <c r="C187" s="87" t="s">
        <v>167</v>
      </c>
    </row>
    <row r="188" spans="2:3" outlineLevel="1">
      <c r="B188" s="80" t="s">
        <v>156</v>
      </c>
      <c r="C188" s="87" t="s">
        <v>168</v>
      </c>
    </row>
    <row r="189" spans="2:3" outlineLevel="1">
      <c r="B189" s="80" t="s">
        <v>226</v>
      </c>
      <c r="C189" s="87" t="s">
        <v>169</v>
      </c>
    </row>
    <row r="190" spans="2:3">
      <c r="B190" s="80"/>
      <c r="C190" s="87"/>
    </row>
    <row r="191" spans="2:3">
      <c r="B191" s="78" t="s">
        <v>191</v>
      </c>
      <c r="C191" s="91" t="str">
        <f>+C1</f>
        <v>Value</v>
      </c>
    </row>
    <row r="192" spans="2:3">
      <c r="B192" s="80" t="s">
        <v>269</v>
      </c>
      <c r="C192" s="87" t="s">
        <v>250</v>
      </c>
    </row>
    <row r="193" spans="2:3">
      <c r="B193" s="80" t="s">
        <v>187</v>
      </c>
      <c r="C193" s="87" t="s">
        <v>181</v>
      </c>
    </row>
    <row r="194" spans="2:3">
      <c r="B194" s="80" t="s">
        <v>227</v>
      </c>
      <c r="C194" s="87" t="s">
        <v>170</v>
      </c>
    </row>
    <row r="195" spans="2:3">
      <c r="B195" s="80" t="s">
        <v>188</v>
      </c>
      <c r="C195" s="87" t="s">
        <v>171</v>
      </c>
    </row>
    <row r="196" spans="2:3">
      <c r="B196" s="80" t="s">
        <v>190</v>
      </c>
      <c r="C196" s="87" t="s">
        <v>410</v>
      </c>
    </row>
    <row r="197" spans="2:3">
      <c r="B197" s="80" t="s">
        <v>189</v>
      </c>
      <c r="C197" s="87" t="s">
        <v>182</v>
      </c>
    </row>
    <row r="198" spans="2:3">
      <c r="B198" s="78" t="s">
        <v>192</v>
      </c>
      <c r="C198" s="87"/>
    </row>
    <row r="199" spans="2:3">
      <c r="B199" s="80" t="s">
        <v>429</v>
      </c>
      <c r="C199" s="87" t="s">
        <v>183</v>
      </c>
    </row>
    <row r="200" spans="2:3">
      <c r="B200" s="80" t="s">
        <v>430</v>
      </c>
      <c r="C200" s="87" t="s">
        <v>184</v>
      </c>
    </row>
    <row r="201" spans="2:3">
      <c r="B201" s="80" t="s">
        <v>195</v>
      </c>
      <c r="C201" s="87" t="s">
        <v>185</v>
      </c>
    </row>
    <row r="202" spans="2:3">
      <c r="B202" s="80" t="s">
        <v>260</v>
      </c>
      <c r="C202" s="87" t="s">
        <v>186</v>
      </c>
    </row>
    <row r="203" spans="2:3">
      <c r="B203" s="80" t="s">
        <v>196</v>
      </c>
      <c r="C203" s="87" t="s">
        <v>172</v>
      </c>
    </row>
    <row r="204" spans="2:3">
      <c r="B204" s="80" t="s">
        <v>197</v>
      </c>
      <c r="C204" s="87" t="s">
        <v>173</v>
      </c>
    </row>
    <row r="205" spans="2:3">
      <c r="B205" s="80" t="s">
        <v>198</v>
      </c>
      <c r="C205" s="87" t="s">
        <v>174</v>
      </c>
    </row>
    <row r="206" spans="2:3">
      <c r="B206" s="80" t="s">
        <v>199</v>
      </c>
      <c r="C206" s="87" t="s">
        <v>175</v>
      </c>
    </row>
    <row r="207" spans="2:3">
      <c r="B207" s="78" t="s">
        <v>193</v>
      </c>
      <c r="C207" s="87"/>
    </row>
    <row r="208" spans="2:3">
      <c r="B208" s="80" t="s">
        <v>200</v>
      </c>
      <c r="C208" s="87" t="s">
        <v>411</v>
      </c>
    </row>
    <row r="209" spans="2:3">
      <c r="B209" s="80" t="s">
        <v>201</v>
      </c>
      <c r="C209" s="87" t="s">
        <v>176</v>
      </c>
    </row>
    <row r="210" spans="2:3">
      <c r="B210" s="80" t="s">
        <v>203</v>
      </c>
      <c r="C210" s="87" t="s">
        <v>177</v>
      </c>
    </row>
    <row r="211" spans="2:3">
      <c r="B211" s="80" t="s">
        <v>202</v>
      </c>
      <c r="C211" s="87" t="s">
        <v>178</v>
      </c>
    </row>
    <row r="212" spans="2:3">
      <c r="B212" s="80" t="s">
        <v>204</v>
      </c>
      <c r="C212" s="87" t="s">
        <v>179</v>
      </c>
    </row>
    <row r="213" spans="2:3">
      <c r="B213" s="80" t="s">
        <v>205</v>
      </c>
      <c r="C213" s="87" t="s">
        <v>180</v>
      </c>
    </row>
    <row r="214" spans="2:3">
      <c r="B214" s="80" t="s">
        <v>206</v>
      </c>
      <c r="C214" s="87" t="s">
        <v>221</v>
      </c>
    </row>
    <row r="215" spans="2:3">
      <c r="B215" s="80" t="s">
        <v>207</v>
      </c>
      <c r="C215" s="87" t="s">
        <v>222</v>
      </c>
    </row>
    <row r="216" spans="2:3">
      <c r="B216" s="80"/>
      <c r="C216" s="87"/>
    </row>
    <row r="217" spans="2:3">
      <c r="B217" s="78" t="s">
        <v>17</v>
      </c>
      <c r="C217" s="87"/>
    </row>
    <row r="218" spans="2:3">
      <c r="B218" s="82" t="s">
        <v>228</v>
      </c>
      <c r="C218" s="92" t="s">
        <v>210</v>
      </c>
    </row>
    <row r="219" spans="2:3">
      <c r="B219" s="82" t="s">
        <v>229</v>
      </c>
      <c r="C219" s="92" t="s">
        <v>211</v>
      </c>
    </row>
    <row r="220" spans="2:3">
      <c r="B220" s="82" t="s">
        <v>209</v>
      </c>
      <c r="C220" s="92" t="s">
        <v>212</v>
      </c>
    </row>
    <row r="221" spans="2:3">
      <c r="B221" s="82" t="s">
        <v>213</v>
      </c>
      <c r="C221" s="92" t="s">
        <v>215</v>
      </c>
    </row>
    <row r="222" spans="2:3">
      <c r="B222" s="82" t="s">
        <v>214</v>
      </c>
      <c r="C222" s="92" t="s">
        <v>216</v>
      </c>
    </row>
    <row r="223" spans="2:3">
      <c r="B223" s="82"/>
      <c r="C223" s="92"/>
    </row>
    <row r="224" spans="2:3">
      <c r="B224" s="82" t="s">
        <v>217</v>
      </c>
      <c r="C224" s="87" t="s">
        <v>218</v>
      </c>
    </row>
    <row r="225" spans="2:3" ht="15.5" thickBot="1">
      <c r="B225" s="83" t="s">
        <v>219</v>
      </c>
      <c r="C225" s="93" t="s">
        <v>433</v>
      </c>
    </row>
  </sheetData>
  <pageMargins left="0.2" right="0.2" top="0.25" bottom="0.25" header="0.3" footer="0.3"/>
  <pageSetup scale="70" orientation="landscape" horizontalDpi="4294967294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Param</vt:lpstr>
      <vt:lpstr>WP</vt:lpstr>
      <vt:lpstr>Param!Print_Area</vt:lpstr>
      <vt:lpstr>WP!Print_Area</vt:lpstr>
      <vt:lpstr>Param!tab_param</vt:lpstr>
      <vt:lpstr>tab_param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Evariste MANIRUMVA</cp:lastModifiedBy>
  <cp:lastPrinted>2022-05-14T10:36:11Z</cp:lastPrinted>
  <dcterms:created xsi:type="dcterms:W3CDTF">2022-04-17T19:02:59Z</dcterms:created>
  <dcterms:modified xsi:type="dcterms:W3CDTF">2026-01-09T08:58:10Z</dcterms:modified>
</cp:coreProperties>
</file>